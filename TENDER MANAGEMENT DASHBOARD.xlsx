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per Sheet" sheetId="1" r:id="rId5"/>
    <sheet state="visible" name="DASHBOARD" sheetId="2" r:id="rId6"/>
    <sheet state="visible" name="Company Master Data" sheetId="3" r:id="rId7"/>
    <sheet state="visible" name="Tender Master Data" sheetId="4" r:id="rId8"/>
    <sheet state="visible" name="RA Bill Tracker" sheetId="5" r:id="rId9"/>
    <sheet state="visible" name="Expense Tracker" sheetId="6" r:id="rId10"/>
    <sheet state="visible" name="Supervisor Tracker" sheetId="7" r:id="rId11"/>
    <sheet state="visible" name="Salary Tracker" sheetId="8" r:id="rId12"/>
    <sheet state="visible" name="FDR-BG Tracker" sheetId="9" r:id="rId13"/>
    <sheet state="visible" name="Bank Transactions" sheetId="10" r:id="rId14"/>
  </sheets>
  <definedNames>
    <definedName hidden="1" localSheetId="4" name="Z_F4CE9BB1_58F5_4557_A2DF_D25726D711D7_.wvu.FilterData">'RA Bill Tracker'!$A$2:$K$7</definedName>
    <definedName hidden="1" localSheetId="9" name="Z_619FDBE4_4BEA_4A29_9BFD_148DBED10831_.wvu.FilterData">'Bank Transactions'!$A$2:$I$10</definedName>
    <definedName hidden="1" localSheetId="7" name="Z_0700D70B_57F5_425E_856A_ED77EEE96030_.wvu.FilterData">'Salary Tracker'!$A$2:$K$7</definedName>
    <definedName hidden="1" localSheetId="2" name="Z_D11D38C8_55F4_49C1_87FB_3B5B2EBC6C6B_.wvu.FilterData">'Company Master Data'!$A$2:$E$5</definedName>
    <definedName hidden="1" localSheetId="3" name="Z_6BDC116A_C9E1_4AAC_A307_512AED4322A3_.wvu.FilterData">'Tender Master Data'!$A$2:$K$7</definedName>
    <definedName hidden="1" localSheetId="6" name="Z_49B8F137_9BBC_4796_8B62_195F7BCB9E27_.wvu.FilterData">'Supervisor Tracker'!$A$2:$K$5</definedName>
    <definedName hidden="1" localSheetId="5" name="Z_2213D6F1_F1C0_4B5C_A3F0_9CEE01CB4C79_.wvu.FilterData">'Expense Tracker'!$A$2:$J$10</definedName>
    <definedName hidden="1" localSheetId="8" name="Z_7C8A387F_5BFE_4F06_A5C3_B5D337FF525F_.wvu.FilterData">'FDR-BG Tracker'!$A$2:$K$5</definedName>
  </definedNames>
  <calcPr/>
  <customWorkbookViews>
    <customWorkbookView activeSheetId="0" maximized="1" windowHeight="0" windowWidth="0" guid="{F4CE9BB1-58F5-4557-A2DF-D25726D711D7}" name="RABillTracker filter view"/>
    <customWorkbookView activeSheetId="0" maximized="1" windowHeight="0" windowWidth="0" guid="{619FDBE4-4BEA-4A29-9BFD-148DBED10831}" name="BankTransactions filter view"/>
    <customWorkbookView activeSheetId="0" maximized="1" windowHeight="0" windowWidth="0" guid="{0700D70B-57F5-425E-856A-ED77EEE96030}" name="SalaryTracker filter view"/>
    <customWorkbookView activeSheetId="0" maximized="1" windowHeight="0" windowWidth="0" guid="{D11D38C8-55F4-49C1-87FB-3B5B2EBC6C6B}" name="CompanyMaster filter view"/>
    <customWorkbookView activeSheetId="0" maximized="1" windowHeight="0" windowWidth="0" guid="{6BDC116A-C9E1-4AAC-A307-512AED4322A3}" name="TenderMaster filter view"/>
    <customWorkbookView activeSheetId="0" maximized="1" windowHeight="0" windowWidth="0" guid="{49B8F137-9BBC-4796-8B62-195F7BCB9E27}" name="SupervisorTracker filter view"/>
    <customWorkbookView activeSheetId="0" maximized="1" windowHeight="0" windowWidth="0" guid="{2213D6F1-F1C0-4B5C-A3F0-9CEE01CB4C79}" name="ExpenseTracker filter view"/>
    <customWorkbookView activeSheetId="0" maximized="1" windowHeight="0" windowWidth="0" guid="{7C8A387F-5BFE-4F06-A5C3-B5D337FF525F}" name="FDRBGTracker filter view"/>
  </customWorkbookViews>
</workbook>
</file>

<file path=xl/sharedStrings.xml><?xml version="1.0" encoding="utf-8"?>
<sst xmlns="http://schemas.openxmlformats.org/spreadsheetml/2006/main" count="2350" uniqueCount="205">
  <si>
    <t>COMPANIES</t>
  </si>
  <si>
    <t>TENDERS</t>
  </si>
  <si>
    <t>STATE</t>
  </si>
  <si>
    <t>MONTH &amp; YEAR</t>
  </si>
  <si>
    <t>MONTHS</t>
  </si>
  <si>
    <t>TENDER ID</t>
  </si>
  <si>
    <t>MONTH START</t>
  </si>
  <si>
    <t>TENDER MASTER</t>
  </si>
  <si>
    <t>COMPANY MASTER</t>
  </si>
  <si>
    <t>Tender ID</t>
  </si>
  <si>
    <t>Company ID</t>
  </si>
  <si>
    <t>Company Name</t>
  </si>
  <si>
    <t>Tender Name</t>
  </si>
  <si>
    <t>State</t>
  </si>
  <si>
    <t>Supervisor</t>
  </si>
  <si>
    <t>Contract Amount (₹)</t>
  </si>
  <si>
    <t>City</t>
  </si>
  <si>
    <t>Start Date</t>
  </si>
  <si>
    <t>Status</t>
  </si>
  <si>
    <t>End Date</t>
  </si>
  <si>
    <t>Location</t>
  </si>
  <si>
    <t>C001</t>
  </si>
  <si>
    <t>T001</t>
  </si>
  <si>
    <t>Micky Services Pvt Ltd</t>
  </si>
  <si>
    <t>Maharashtra</t>
  </si>
  <si>
    <t>Hospital Housekeeping</t>
  </si>
  <si>
    <t>Mumbai</t>
  </si>
  <si>
    <t>Shivam</t>
  </si>
  <si>
    <t>Haryana</t>
  </si>
  <si>
    <t>May 2026</t>
  </si>
  <si>
    <t>XYZ Infra Services</t>
  </si>
  <si>
    <t>Active</t>
  </si>
  <si>
    <t>Jun 2026</t>
  </si>
  <si>
    <t>Jul 2026</t>
  </si>
  <si>
    <t>C002</t>
  </si>
  <si>
    <t>ABC Facility Solutions</t>
  </si>
  <si>
    <t>Delhi</t>
  </si>
  <si>
    <t>New Delhi</t>
  </si>
  <si>
    <t>T002</t>
  </si>
  <si>
    <t>Office Manpower</t>
  </si>
  <si>
    <t>C003</t>
  </si>
  <si>
    <t>Rahul</t>
  </si>
  <si>
    <t>Gurugram</t>
  </si>
  <si>
    <t>Pune</t>
  </si>
  <si>
    <t>T003</t>
  </si>
  <si>
    <t>Campus Security</t>
  </si>
  <si>
    <t>Rohit</t>
  </si>
  <si>
    <t>T004</t>
  </si>
  <si>
    <t>Office Cleaning</t>
  </si>
  <si>
    <t>Amit</t>
  </si>
  <si>
    <t>Noida</t>
  </si>
  <si>
    <t>T005</t>
  </si>
  <si>
    <t>Road Maintenance</t>
  </si>
  <si>
    <t>Aman</t>
  </si>
  <si>
    <t>RA BILL TRACKER</t>
  </si>
  <si>
    <t>Bill No</t>
  </si>
  <si>
    <t>Bill Date</t>
  </si>
  <si>
    <t>Bill Amount (₹)</t>
  </si>
  <si>
    <t>Received (₹)</t>
  </si>
  <si>
    <t>Pending (₹)</t>
  </si>
  <si>
    <t>Last Received Date</t>
  </si>
  <si>
    <t>RA001</t>
  </si>
  <si>
    <t>Partially Received</t>
  </si>
  <si>
    <t>FILTERS</t>
  </si>
  <si>
    <t>RA002</t>
  </si>
  <si>
    <t>COMPANY</t>
  </si>
  <si>
    <t>TOTAL RAR AMOUNT</t>
  </si>
  <si>
    <t>RECEIVED RAR</t>
  </si>
  <si>
    <t>PENDING RAR</t>
  </si>
  <si>
    <t>BALANCE IN BANK (ACCOUNT TO COMPANY )</t>
  </si>
  <si>
    <t>Received</t>
  </si>
  <si>
    <t>TENDER</t>
  </si>
  <si>
    <t>RA003</t>
  </si>
  <si>
    <t>RA004</t>
  </si>
  <si>
    <t>MONTH</t>
  </si>
  <si>
    <t>Pending</t>
  </si>
  <si>
    <t>RA005</t>
  </si>
  <si>
    <t>SALARY ACCOUNT</t>
  </si>
  <si>
    <t>AMOUNT OF FDR OR BG</t>
  </si>
  <si>
    <t>SUPERVIOR ACCOUNT</t>
  </si>
  <si>
    <t>CONTRACT TIMELINE</t>
  </si>
  <si>
    <t>COMPANY DETAILS</t>
  </si>
  <si>
    <t>SALARY TRANSFER AMOUNT</t>
  </si>
  <si>
    <t>FDR AMOUNT</t>
  </si>
  <si>
    <t>SUPERVISOR</t>
  </si>
  <si>
    <t>COMPLETED</t>
  </si>
  <si>
    <t>COMPANY &amp; TENDER</t>
  </si>
  <si>
    <t>SALARY TRANSFER DATE</t>
  </si>
  <si>
    <t>FDR/BG</t>
  </si>
  <si>
    <t>PAID TO SUPERVISOR</t>
  </si>
  <si>
    <t>ACTUAL AMOUNT</t>
  </si>
  <si>
    <t>FDR MADE BY</t>
  </si>
  <si>
    <t>REMAINING</t>
  </si>
  <si>
    <t>COMPANY TENDER &amp; MONTH</t>
  </si>
  <si>
    <t>BALANCE COLLECTION AMOUNT</t>
  </si>
  <si>
    <t>FDR STATE</t>
  </si>
  <si>
    <t>EXPENSE AND AMOUNT RETURNED</t>
  </si>
  <si>
    <t>TOTAL EXPENSES</t>
  </si>
  <si>
    <t>CA NUMBER</t>
  </si>
  <si>
    <t>EXPENSE ACCORDING TO MONTH</t>
  </si>
  <si>
    <t>TOTAL SALARY TRANSFER AMOUNT</t>
  </si>
  <si>
    <t>BALANCE REMAINING AT SUPERVISOR</t>
  </si>
  <si>
    <t>PER TENDER PROFIT</t>
  </si>
  <si>
    <t>CA AMOUNT</t>
  </si>
  <si>
    <t>DATE OF COMMENCEMENT</t>
  </si>
  <si>
    <t>DATE OF COMPLETION</t>
  </si>
  <si>
    <t>EXTENDED DATE</t>
  </si>
  <si>
    <t>EXPENSE TRACKER</t>
  </si>
  <si>
    <t>Expense ID</t>
  </si>
  <si>
    <t>Date</t>
  </si>
  <si>
    <t>Expense Category</t>
  </si>
  <si>
    <t>Description</t>
  </si>
  <si>
    <t>Amount (₹)</t>
  </si>
  <si>
    <t>Bill / Voucher No</t>
  </si>
  <si>
    <t>E001</t>
  </si>
  <si>
    <t>Salary</t>
  </si>
  <si>
    <t>Staff salary - June</t>
  </si>
  <si>
    <t>INV-101</t>
  </si>
  <si>
    <t>E002</t>
  </si>
  <si>
    <t>Travel</t>
  </si>
  <si>
    <t>Local travel</t>
  </si>
  <si>
    <t>INV-102</t>
  </si>
  <si>
    <t>E003</t>
  </si>
  <si>
    <t>Food</t>
  </si>
  <si>
    <t>Staff meal</t>
  </si>
  <si>
    <t>INV-103</t>
  </si>
  <si>
    <t>E004</t>
  </si>
  <si>
    <t>Equipment</t>
  </si>
  <si>
    <t>Safety equipment</t>
  </si>
  <si>
    <t>INV-104</t>
  </si>
  <si>
    <t>E005</t>
  </si>
  <si>
    <t>Site visit</t>
  </si>
  <si>
    <t>INV-105</t>
  </si>
  <si>
    <t>E006</t>
  </si>
  <si>
    <t>Material</t>
  </si>
  <si>
    <t>Repair material</t>
  </si>
  <si>
    <t>INV-106</t>
  </si>
  <si>
    <t>E007</t>
  </si>
  <si>
    <t>Other</t>
  </si>
  <si>
    <t>Printing and stationery</t>
  </si>
  <si>
    <t>INV-107</t>
  </si>
  <si>
    <t>E008</t>
  </si>
  <si>
    <t>INV-108</t>
  </si>
  <si>
    <t>SUPERVISOR TRACKER</t>
  </si>
  <si>
    <t>Entry ID</t>
  </si>
  <si>
    <t>Amount Given (₹)</t>
  </si>
  <si>
    <t>Expense Used (₹)</t>
  </si>
  <si>
    <t>Amount Returned (₹)</t>
  </si>
  <si>
    <t>Balance With Supervisor (₹)</t>
  </si>
  <si>
    <t>SUP001</t>
  </si>
  <si>
    <t>SUP002</t>
  </si>
  <si>
    <t>SALARY TRACKER</t>
  </si>
  <si>
    <t>Salary ID</t>
  </si>
  <si>
    <t>Payment Date</t>
  </si>
  <si>
    <t>Employee Name</t>
  </si>
  <si>
    <t>Salary Payable (₹)</t>
  </si>
  <si>
    <t>Paid (₹)</t>
  </si>
  <si>
    <t>SUP003</t>
  </si>
  <si>
    <t>Salary Month</t>
  </si>
  <si>
    <t>S001</t>
  </si>
  <si>
    <t>June 2026</t>
  </si>
  <si>
    <t>S002</t>
  </si>
  <si>
    <t>S003</t>
  </si>
  <si>
    <t>Neha</t>
  </si>
  <si>
    <t>S004</t>
  </si>
  <si>
    <t>Priya</t>
  </si>
  <si>
    <t>S005</t>
  </si>
  <si>
    <t>Rishabh</t>
  </si>
  <si>
    <t>July 2026</t>
  </si>
  <si>
    <t>FDR / BG TRACKER</t>
  </si>
  <si>
    <t>Reference ID</t>
  </si>
  <si>
    <t>Type</t>
  </si>
  <si>
    <t>Bank</t>
  </si>
  <si>
    <t>Issue Date</t>
  </si>
  <si>
    <t>Expiry Date</t>
  </si>
  <si>
    <t>FDR001</t>
  </si>
  <si>
    <t>FDR</t>
  </si>
  <si>
    <t>SBI</t>
  </si>
  <si>
    <t>FDR002</t>
  </si>
  <si>
    <t>BG</t>
  </si>
  <si>
    <t>HDFC</t>
  </si>
  <si>
    <t>FDR003</t>
  </si>
  <si>
    <t>ICICI</t>
  </si>
  <si>
    <t>BANK TRANSACTIONS</t>
  </si>
  <si>
    <t>Transaction ID</t>
  </si>
  <si>
    <t>Transaction Type</t>
  </si>
  <si>
    <t>B001</t>
  </si>
  <si>
    <t>Opening Balance</t>
  </si>
  <si>
    <t>Opening balance for sample</t>
  </si>
  <si>
    <t>B002</t>
  </si>
  <si>
    <t>Credit</t>
  </si>
  <si>
    <t>RA001 payment received</t>
  </si>
  <si>
    <t>B003</t>
  </si>
  <si>
    <t>Debit</t>
  </si>
  <si>
    <t>Salary and site expenses</t>
  </si>
  <si>
    <t>B004</t>
  </si>
  <si>
    <t>RA003 part payment</t>
  </si>
  <si>
    <t>B005</t>
  </si>
  <si>
    <t>Site expenses</t>
  </si>
  <si>
    <t>B006</t>
  </si>
  <si>
    <t>B007</t>
  </si>
  <si>
    <t>RA005 part payment</t>
  </si>
  <si>
    <t>B008</t>
  </si>
  <si>
    <t>Material and labour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</si>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</sst>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yy"/>
    <numFmt numFmtId="165" formatCode="d&quot;-&quot;mmm&quot;-&quot;yyyy"/>
    <numFmt numFmtId="166" formatCode="₹#,##0.00"/>
    <numFmt numFmtId="167" formatCode="[$₹]#,##0"/>
    <numFmt numFmtId="168" formatCode="mmm yyyy"/>
    <numFmt numFmtId="169" formatCode="₹#,##0"/>
  </numFmts>
  <fonts count="2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Play"/>
    </font>
    <font/>
    <font>
      <b/>
      <color rgb="FFFFFFFF"/>
      <name val="Calibri"/>
      <scheme val="minor"/>
    </font>
    <font>
      <sz val="11.0"/>
      <color theme="1"/>
      <name val="Calibri"/>
    </font>
    <font>
      <b/>
      <sz val="25.0"/>
      <color rgb="FFFFFFFF"/>
      <name val="Calibri"/>
      <scheme val="minor"/>
    </font>
    <font>
      <b/>
      <sz val="25.0"/>
      <color theme="1"/>
      <name val="Calibri"/>
      <scheme val="minor"/>
    </font>
    <font>
      <b/>
      <color rgb="FF1F3A5F"/>
      <name val="Calibri"/>
      <scheme val="minor"/>
    </font>
    <font>
      <b/>
      <sz val="17.0"/>
      <color rgb="FFFFFFFF"/>
      <name val="Calibri"/>
      <scheme val="minor"/>
    </font>
    <font>
      <b/>
      <sz val="17.0"/>
      <color theme="1"/>
      <name val="Calibri"/>
      <scheme val="minor"/>
    </font>
    <font>
      <b/>
      <sz val="14.0"/>
      <color rgb="FFFFFFFF"/>
      <name val="Calibri"/>
      <scheme val="minor"/>
    </font>
    <font>
      <b/>
      <sz val="14.0"/>
      <color theme="1"/>
      <name val="Calibri"/>
      <scheme val="minor"/>
    </font>
    <font>
      <b/>
      <sz val="20.0"/>
      <color rgb="FF1F3A5F"/>
      <name val="Calibri"/>
      <scheme val="minor"/>
    </font>
    <font>
      <b/>
      <sz val="20.0"/>
      <color rgb="FF137333"/>
      <name val="Calibri"/>
      <scheme val="minor"/>
    </font>
    <font>
      <b/>
      <sz val="20.0"/>
      <color rgb="FFC5221F"/>
      <name val="Calibri"/>
      <scheme val="minor"/>
    </font>
    <font>
      <b/>
      <sz val="20.0"/>
      <color theme="1"/>
      <name val="Calibri"/>
      <scheme val="minor"/>
    </font>
    <font>
      <b/>
      <color rgb="FF333333"/>
      <name val="Calibri"/>
      <scheme val="minor"/>
    </font>
    <font>
      <b/>
      <color rgb="FF137333"/>
      <name val="Calibri"/>
      <scheme val="minor"/>
    </font>
    <font>
      <color rgb="FF000000"/>
      <name val="Calibri"/>
      <scheme val="minor"/>
    </font>
    <font>
      <b/>
      <color rgb="FFE37400"/>
      <name val="Calibri"/>
      <scheme val="minor"/>
    </font>
    <font>
      <b/>
      <sz val="10.0"/>
      <color rgb="FFFFFFFF"/>
      <name val="Calibri"/>
      <scheme val="minor"/>
    </font>
    <font>
      <b/>
      <color rgb="FFC5221F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23047"/>
        <bgColor rgb="FF123047"/>
      </patternFill>
    </fill>
    <fill>
      <patternFill patternType="solid">
        <fgColor rgb="FF0F6674"/>
        <bgColor rgb="FF0F6674"/>
      </patternFill>
    </fill>
    <fill>
      <patternFill patternType="solid">
        <fgColor rgb="FFFFFF00"/>
        <bgColor rgb="FFFFFF00"/>
      </patternFill>
    </fill>
    <fill>
      <patternFill patternType="solid">
        <fgColor rgb="FF0F4C5C"/>
        <bgColor rgb="FF0F4C5C"/>
      </patternFill>
    </fill>
    <fill>
      <patternFill patternType="solid">
        <fgColor rgb="FFFFE599"/>
        <bgColor rgb="FFFFE599"/>
      </patternFill>
    </fill>
    <fill>
      <patternFill patternType="solid">
        <fgColor rgb="FFD6E4F0"/>
        <bgColor rgb="FFD6E4F0"/>
      </patternFill>
    </fill>
    <fill>
      <patternFill patternType="solid">
        <fgColor rgb="FF1F3A5F"/>
        <bgColor rgb="FF1F3A5F"/>
      </patternFill>
    </fill>
    <fill>
      <patternFill patternType="solid">
        <fgColor rgb="FFF5F8FC"/>
        <bgColor rgb="FFF5F8FC"/>
      </patternFill>
    </fill>
    <fill>
      <patternFill patternType="solid">
        <fgColor rgb="FF2E5C8A"/>
        <bgColor rgb="FF2E5C8A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bottom style="thin">
        <color rgb="FFD6DEE3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</border>
    <border>
      <right style="medium">
        <color rgb="FFCCCCCC"/>
      </right>
    </border>
    <border>
      <left style="medium">
        <color rgb="FFCCCCCC"/>
      </left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Font="1"/>
    <xf borderId="4" fillId="4" fontId="5" numFmtId="0" xfId="0" applyAlignment="1" applyBorder="1" applyFill="1" applyFont="1">
      <alignment horizontal="center" readingOrder="0" shrinkToFit="0" vertical="center" wrapText="1"/>
    </xf>
    <xf borderId="0" fillId="5" fontId="2" numFmtId="0" xfId="0" applyFill="1" applyFont="1"/>
    <xf borderId="4" fillId="4" fontId="5" numFmtId="49" xfId="0" applyAlignment="1" applyBorder="1" applyFill="1" applyFont="1" applyNumberFormat="1">
      <alignment horizontal="center" readingOrder="0" shrinkToFit="0" vertical="center" wrapText="1"/>
    </xf>
    <xf borderId="0" fillId="5" fontId="2" numFmtId="165" xfId="0" applyFill="1" applyFont="1" applyNumberFormat="1"/>
    <xf borderId="4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165" xfId="0" applyAlignment="1" applyBorder="1" applyFont="1" applyNumberFormat="1">
      <alignment shrinkToFit="0" vertical="center" wrapText="0"/>
    </xf>
    <xf borderId="4" fillId="0" fontId="6" numFmtId="164" xfId="0" applyAlignment="1" applyBorder="1" applyFont="1" applyNumberFormat="1">
      <alignment horizontal="center" shrinkToFit="0" vertical="center" wrapText="0"/>
    </xf>
    <xf borderId="4" fillId="0" fontId="6" numFmtId="166" xfId="0" applyAlignment="1" applyBorder="1" applyFont="1" applyNumberFormat="1">
      <alignment horizontal="center" shrinkToFit="0" vertical="center" wrapText="0"/>
    </xf>
    <xf borderId="0" fillId="6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7" fontId="1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8" fillId="8" fontId="9" numFmtId="0" xfId="0" applyAlignment="1" applyBorder="1" applyFill="1" applyFont="1">
      <alignment horizontal="center" readingOrder="0"/>
    </xf>
    <xf borderId="9" fillId="0" fontId="4" numFmtId="0" xfId="0" applyBorder="1" applyFont="1"/>
    <xf borderId="5" fillId="9" fontId="10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9" fontId="10" numFmtId="0" xfId="0" applyAlignment="1" applyFill="1" applyFont="1">
      <alignment horizontal="center" readingOrder="0" vertical="center"/>
    </xf>
    <xf borderId="5" fillId="9" fontId="12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/>
    </xf>
    <xf borderId="8" fillId="0" fontId="4" numFmtId="0" xfId="0" applyBorder="1" applyFont="1"/>
    <xf borderId="8" fillId="10" fontId="14" numFmtId="167" xfId="0" applyAlignment="1" applyBorder="1" applyFill="1" applyFont="1" applyNumberFormat="1">
      <alignment horizontal="center" readingOrder="0"/>
    </xf>
    <xf borderId="8" fillId="10" fontId="15" numFmtId="167" xfId="0" applyAlignment="1" applyBorder="1" applyFill="1" applyFont="1" applyNumberFormat="1">
      <alignment horizontal="center" readingOrder="0"/>
    </xf>
    <xf borderId="8" fillId="10" fontId="16" numFmtId="167" xfId="0" applyAlignment="1" applyBorder="1" applyFill="1" applyFont="1" applyNumberFormat="1">
      <alignment horizontal="center" readingOrder="0"/>
    </xf>
    <xf borderId="0" fillId="0" fontId="17" numFmtId="167" xfId="0" applyAlignment="1" applyFont="1" applyNumberForma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10" fillId="0" fontId="1" numFmtId="168" xfId="0" applyAlignment="1" applyBorder="1" applyFont="1" applyNumberFormat="1">
      <alignment horizontal="center" readingOrder="0"/>
    </xf>
    <xf borderId="12" fillId="0" fontId="4" numFmtId="0" xfId="0" applyBorder="1" applyFont="1"/>
    <xf borderId="5" fillId="11" fontId="10" numFmtId="0" xfId="0" applyAlignment="1" applyBorder="1" applyFill="1" applyFont="1">
      <alignment horizontal="center" readingOrder="0" vertical="center"/>
    </xf>
    <xf borderId="5" fillId="11" fontId="12" numFmtId="0" xfId="0" applyAlignment="1" applyBorder="1" applyFill="1" applyFont="1">
      <alignment horizontal="center" readingOrder="0" shrinkToFit="0" vertical="center" wrapText="1"/>
    </xf>
    <xf borderId="5" fillId="9" fontId="5" numFmtId="0" xfId="0" applyAlignment="1" applyBorder="1" applyFill="1" applyFont="1">
      <alignment horizontal="center" readingOrder="0"/>
    </xf>
    <xf borderId="13" fillId="12" fontId="18" numFmtId="0" xfId="0" applyAlignment="1" applyBorder="1" applyFill="1" applyFont="1">
      <alignment horizontal="left" readingOrder="0"/>
    </xf>
    <xf borderId="13" fillId="13" fontId="9" numFmtId="167" xfId="0" applyAlignment="1" applyBorder="1" applyFill="1" applyFont="1" applyNumberFormat="1">
      <alignment horizontal="center" readingOrder="0"/>
    </xf>
    <xf borderId="0" fillId="12" fontId="2" numFmtId="0" xfId="0" applyAlignment="1" applyFill="1" applyFont="1">
      <alignment horizontal="center" readingOrder="0"/>
    </xf>
    <xf borderId="13" fillId="12" fontId="2" numFmtId="0" xfId="0" applyAlignment="1" applyBorder="1" applyFill="1" applyFont="1">
      <alignment horizontal="left" readingOrder="0"/>
    </xf>
    <xf borderId="8" fillId="12" fontId="2" numFmtId="0" xfId="0" applyAlignment="1" applyBorder="1" applyFill="1" applyFont="1">
      <alignment horizontal="left" readingOrder="0"/>
    </xf>
    <xf borderId="9" fillId="13" fontId="9" numFmtId="167" xfId="0" applyAlignment="1" applyBorder="1" applyFill="1" applyFont="1" applyNumberFormat="1">
      <alignment horizontal="center" readingOrder="0"/>
    </xf>
    <xf borderId="14" fillId="8" fontId="2" numFmtId="0" xfId="0" applyAlignment="1" applyBorder="1" applyFill="1" applyFont="1">
      <alignment horizontal="center" readingOrder="0"/>
    </xf>
    <xf borderId="15" fillId="0" fontId="4" numFmtId="0" xfId="0" applyBorder="1" applyFont="1"/>
    <xf borderId="13" fillId="13" fontId="9" numFmtId="165" xfId="0" applyAlignment="1" applyBorder="1" applyFill="1" applyFont="1" applyNumberFormat="1">
      <alignment horizontal="center" readingOrder="0"/>
    </xf>
    <xf borderId="14" fillId="0" fontId="19" numFmtId="10" xfId="0" applyAlignment="1" applyBorder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8" fillId="12" fontId="20" numFmtId="0" xfId="0" applyAlignment="1" applyBorder="1" applyFill="1" applyFont="1">
      <alignment horizontal="center"/>
    </xf>
    <xf borderId="13" fillId="13" fontId="18" numFmtId="167" xfId="0" applyAlignment="1" applyBorder="1" applyFill="1" applyFont="1" applyNumberFormat="1">
      <alignment horizontal="center" readingOrder="0"/>
    </xf>
    <xf borderId="13" fillId="13" fontId="19" numFmtId="167" xfId="0" applyAlignment="1" applyBorder="1" applyFill="1" applyFont="1" applyNumberFormat="1">
      <alignment horizontal="center" readingOrder="0"/>
    </xf>
    <xf borderId="8" fillId="12" fontId="2" numFmtId="0" xfId="0" applyAlignment="1" applyBorder="1" applyFill="1" applyFont="1">
      <alignment horizontal="left" readingOrder="0" shrinkToFit="0" wrapText="1"/>
    </xf>
    <xf borderId="9" fillId="13" fontId="9" numFmtId="167" xfId="0" applyAlignment="1" applyBorder="1" applyFill="1" applyFont="1" applyNumberFormat="1">
      <alignment horizontal="center" readingOrder="0" vertical="center"/>
    </xf>
    <xf borderId="14" fillId="0" fontId="21" numFmtId="10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8" fillId="0" fontId="2" numFmtId="0" xfId="0" applyAlignment="1" applyBorder="1" applyFont="1">
      <alignment horizontal="center"/>
    </xf>
    <xf borderId="13" fillId="13" fontId="21" numFmtId="167" xfId="0" applyAlignment="1" applyBorder="1" applyFill="1" applyFont="1" applyNumberFormat="1">
      <alignment horizontal="center" readingOrder="0"/>
    </xf>
    <xf borderId="14" fillId="11" fontId="22" numFmtId="0" xfId="0" applyAlignment="1" applyBorder="1" applyFill="1" applyFont="1">
      <alignment horizontal="center" readingOrder="0"/>
    </xf>
    <xf borderId="9" fillId="13" fontId="23" numFmtId="167" xfId="0" applyAlignment="1" applyBorder="1" applyFill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4" fillId="0" fontId="2" numFmtId="167" xfId="0" applyAlignment="1" applyBorder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8" fillId="0" fontId="2" numFmtId="165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 readingOrder="0"/>
    </xf>
    <xf borderId="4" fillId="0" fontId="6" numFmtId="169" xfId="0" applyAlignment="1" applyBorder="1" applyFont="1" applyNumberFormat="1">
      <alignment horizontal="center" shrinkToFit="0" vertical="center" wrapText="0"/>
    </xf>
    <xf borderId="4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8">
    <tableStyle count="4" pivot="0" name="Tender Master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y Master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 Bill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ervisor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ary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DR-BG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nk 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SALARY ACCOUNT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DASHBOARD!$E$10:$E$18</c:f>
            </c:strRef>
          </c:cat>
          <c:val>
            <c:numRef>
              <c:f>DASHBOARD!$F$10:$F$18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CONTRACT TIMELINE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val>
            <c:numRef>
              <c:f>DASHBOARD!$N$13:$O$13</c:f>
              <c:numCache/>
            </c:numRef>
          </c:val>
        </c:ser>
        <c:axId val="2116572530"/>
        <c:axId val="67683057"/>
      </c:barChart>
      <c:lineChart>
        <c:varyColors val="0"/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DASHBOARD!$N$15:$O$15</c:f>
              <c:numCache/>
            </c:numRef>
          </c:val>
          <c:smooth val="0"/>
        </c:ser>
        <c:axId val="2116572530"/>
        <c:axId val="67683057"/>
      </c:lineChart>
      <c:catAx>
        <c:axId val="2116572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83057"/>
      </c:catAx>
      <c:valAx>
        <c:axId val="67683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7253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F3A5F"/>
                </a:solidFill>
                <a:latin typeface="+mn-lt"/>
              </a:defRPr>
            </a:pPr>
            <a:r>
              <a:rPr b="1">
                <a:solidFill>
                  <a:srgbClr val="1F3A5F"/>
                </a:solidFill>
                <a:latin typeface="+mn-lt"/>
              </a:rPr>
              <a:t>RECEIVED AND PENDING RAR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(DASHBOARD!$H$7:$H$8,DASHBOARD!$H$7:$H$8,DASHBOARD!$I$7:$I$8,DASHBOARD!$K$7:$K$8,DASHBOARD!$L$7:$L$8)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18</xdr:row>
      <xdr:rowOff>19050</xdr:rowOff>
    </xdr:from>
    <xdr:ext cx="2771775" cy="2733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9525</xdr:colOff>
      <xdr:row>15</xdr:row>
      <xdr:rowOff>38100</xdr:rowOff>
    </xdr:from>
    <xdr:ext cx="2190750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18</xdr:row>
      <xdr:rowOff>19050</xdr:rowOff>
    </xdr:from>
    <xdr:ext cx="3086100" cy="2619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5" displayName="CompanyMaster" name="CompanyMaster" id="1">
  <tableColumns count="5">
    <tableColumn name="Company ID" id="1"/>
    <tableColumn name="Company Name" id="2"/>
    <tableColumn name="State" id="3"/>
    <tableColumn name="City" id="4"/>
    <tableColumn name="Status" id="5"/>
  </tableColumns>
  <tableStyleInfo name="Company Master Data-style" showColumnStripes="0" showFirstColumn="1" showLastColumn="1" showRowStripes="1"/>
</table>
</file>

<file path=xl/tables/table2.xml><?xml version="1.0" encoding="utf-8"?>
<table xmlns="http://schemas.openxmlformats.org/spreadsheetml/2006/main" ref="A2:K7" displayName="TenderMaster" name="TenderMaster" id="2">
  <tableColumns count="11">
    <tableColumn name="Tender ID" id="1"/>
    <tableColumn name="Company ID" id="2"/>
    <tableColumn name="Company Name" id="3"/>
    <tableColumn name="Tender Name" id="4"/>
    <tableColumn name="Supervisor" id="5"/>
    <tableColumn name="Contract Amount (₹)" id="6"/>
    <tableColumn name="Start Date" id="7"/>
    <tableColumn name="MONTH &amp; YEAR" id="8"/>
    <tableColumn name="End Date" id="9"/>
    <tableColumn name="Status" id="10"/>
    <tableColumn name="Location" id="11"/>
  </tableColumns>
  <tableStyleInfo name="Tender Master Data-style" showColumnStripes="0" showFirstColumn="1" showLastColumn="1" showRowStripes="1"/>
</table>
</file>

<file path=xl/tables/table3.xml><?xml version="1.0" encoding="utf-8"?>
<table xmlns="http://schemas.openxmlformats.org/spreadsheetml/2006/main" ref="A2:K7" displayName="RABillTracker" name="RABillTracker" id="3">
  <tableColumns count="11">
    <tableColumn name="Bill No" id="1"/>
    <tableColumn name="Bill Date" id="2"/>
    <tableColumn name="Company ID" id="3"/>
    <tableColumn name="Tender ID" id="4"/>
    <tableColumn name="Company Name" id="5"/>
    <tableColumn name="Tender Name" id="6"/>
    <tableColumn name="Bill Amount (₹)" id="7"/>
    <tableColumn name="Received (₹)" id="8"/>
    <tableColumn name="Pending (₹)" id="9"/>
    <tableColumn name="Last Received Date" id="10"/>
    <tableColumn name="Status" id="11"/>
  </tableColumns>
  <tableStyleInfo name="RA Bill Tracker-style" showColumnStripes="0" showFirstColumn="1" showLastColumn="1" showRowStripes="1"/>
</table>
</file>

<file path=xl/tables/table4.xml><?xml version="1.0" encoding="utf-8"?>
<table xmlns="http://schemas.openxmlformats.org/spreadsheetml/2006/main" ref="A2:J10" displayName="ExpenseTracker" name="ExpenseTracker" id="4">
  <tableColumns count="10">
    <tableColumn name="Expense ID" id="1"/>
    <tableColumn name="Date" id="2"/>
    <tableColumn name="Company ID" id="3"/>
    <tableColumn name="Tender ID" id="4"/>
    <tableColumn name="Company Name" id="5"/>
    <tableColumn name="Tender Name" id="6"/>
    <tableColumn name="Expense Category" id="7"/>
    <tableColumn name="Description" id="8"/>
    <tableColumn name="Amount (₹)" id="9"/>
    <tableColumn name="Bill / Voucher No" id="10"/>
  </tableColumns>
  <tableStyleInfo name="Expense Tracker-style" showColumnStripes="0" showFirstColumn="1" showLastColumn="1" showRowStripes="1"/>
</table>
</file>

<file path=xl/tables/table5.xml><?xml version="1.0" encoding="utf-8"?>
<table xmlns="http://schemas.openxmlformats.org/spreadsheetml/2006/main" ref="A2:K5" displayName="SupervisorTracker" name="SupervisorTracker" id="5">
  <tableColumns count="11">
    <tableColumn name="Entry ID" id="1"/>
    <tableColumn name="Date" id="2"/>
    <tableColumn name="Company ID" id="3"/>
    <tableColumn name="Tender ID" id="4"/>
    <tableColumn name="Company Name" id="5"/>
    <tableColumn name="Tender Name" id="6"/>
    <tableColumn name="Supervisor" id="7"/>
    <tableColumn name="Amount Given (₹)" id="8"/>
    <tableColumn name="Expense Used (₹)" id="9"/>
    <tableColumn name="Amount Returned (₹)" id="10"/>
    <tableColumn name="Balance With Supervisor (₹)" id="11"/>
  </tableColumns>
  <tableStyleInfo name="Supervisor Tracker-style" showColumnStripes="0" showFirstColumn="1" showLastColumn="1" showRowStripes="1"/>
</table>
</file>

<file path=xl/tables/table6.xml><?xml version="1.0" encoding="utf-8"?>
<table xmlns="http://schemas.openxmlformats.org/spreadsheetml/2006/main" ref="A2:K7" displayName="SalaryTracker" name="SalaryTracker" id="6">
  <tableColumns count="11">
    <tableColumn name="Salary ID" id="1"/>
    <tableColumn name="Payment Date" id="2"/>
    <tableColumn name="Company ID" id="3"/>
    <tableColumn name="Tender ID" id="4"/>
    <tableColumn name="Company Name" id="5"/>
    <tableColumn name="Tender Name" id="6"/>
    <tableColumn name="Employee Name" id="7"/>
    <tableColumn name="Salary Payable (₹)" id="8"/>
    <tableColumn name="Paid (₹)" id="9"/>
    <tableColumn name="Pending (₹)" id="10"/>
    <tableColumn name="Salary Month" id="11"/>
  </tableColumns>
  <tableStyleInfo name="Salary Tracker-style" showColumnStripes="0" showFirstColumn="1" showLastColumn="1" showRowStripes="1"/>
</table>
</file>

<file path=xl/tables/table7.xml><?xml version="1.0" encoding="utf-8"?>
<table xmlns="http://schemas.openxmlformats.org/spreadsheetml/2006/main" ref="A2:K5" displayName="FDRBGTracker" name="FDRBGTracker" id="7">
  <tableColumns count="11">
    <tableColumn name="Reference ID" id="1"/>
    <tableColumn name="Company ID" id="2"/>
    <tableColumn name="Tender ID" id="3"/>
    <tableColumn name="Company Name" id="4"/>
    <tableColumn name="Tender Name" id="5"/>
    <tableColumn name="Type" id="6"/>
    <tableColumn name="Amount (₹)" id="7"/>
    <tableColumn name="Bank" id="8"/>
    <tableColumn name="Issue Date" id="9"/>
    <tableColumn name="Expiry Date" id="10"/>
    <tableColumn name="Status" id="11"/>
  </tableColumns>
  <tableStyleInfo name="FDR-BG Tracker-style" showColumnStripes="0" showFirstColumn="1" showLastColumn="1" showRowStripes="1"/>
</table>
</file>

<file path=xl/tables/table8.xml><?xml version="1.0" encoding="utf-8"?>
<table xmlns="http://schemas.openxmlformats.org/spreadsheetml/2006/main" ref="A2:I10" displayName="BankTransactions" name="BankTransactions" id="8">
  <tableColumns count="9">
    <tableColumn name="Transaction ID" id="1"/>
    <tableColumn name="Date" id="2"/>
    <tableColumn name="Company ID" id="3"/>
    <tableColumn name="Tender ID" id="4"/>
    <tableColumn name="Company Name" id="5"/>
    <tableColumn name="Tender Name" id="6"/>
    <tableColumn name="Transaction Type" id="7"/>
    <tableColumn name="Amount (₹)" id="8"/>
    <tableColumn name="Description" id="9"/>
  </tableColumns>
  <tableStyleInfo name="Bank 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3" max="3" width="20.57"/>
    <col customWidth="1" min="7" max="7" width="15.14"/>
  </cols>
  <sheetData>
    <row r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  <c r="L1" s="2" t="s">
        <v>5</v>
      </c>
      <c r="O1" s="2" t="s">
        <v>6</v>
      </c>
    </row>
    <row r="2">
      <c r="A2" s="3" t="str">
        <f t="array" ref="A2:A5">SORT(UNIQUE('Company Master Data'!B3:B1000),1,TRUE)</f>
        <v>ABC Facility Solutions</v>
      </c>
      <c r="C2" s="3" t="str">
        <f>IFERROR(__xludf.DUMMYFUNCTION("IFERROR(SORT(UNIQUE(FILTER('Tender Master Data'!D3:D1000, 'Tender Master Data'!C3:C1000 = DASHBOARD!A6))), """")"),"Campus Security")</f>
        <v>Campus Security</v>
      </c>
      <c r="E2" s="3" t="str">
        <f t="array" ref="E2:E5">SORT(UNIQUE('Company Master Data'!C3:C1000),1,TRUE)</f>
        <v>Delhi</v>
      </c>
      <c r="G2" s="8" t="str">
        <f t="array" ref="G2:G6">UNIQUE('Tender Master Data'!H3:H1000)</f>
        <v>Apr 2026</v>
      </c>
      <c r="I2" s="9" t="str">
        <f>IFERROR(__xludf.DUMMYFUNCTION("IFERROR(ARRAYFORMULA(TEXT(FILTER('Tender Master Data'!H3:H1000, 'Tender Master Data'!C3:C1000=DASHBOARD!A6, 'Tender Master Data'!D3:D1000=DASHBOARD!A8), ""mmm yyyy"")), """")"),"Jun 2026")</f>
        <v>Jun 2026</v>
      </c>
      <c r="K2" s="3" t="b">
        <f>ISTEXT(I2)</f>
        <v>1</v>
      </c>
      <c r="L2" s="11" t="str">
        <f>IFERROR(__xludf.DUMMYFUNCTION("IFERROR(FILTER('Tender Master Data'!A3:A1000, 'Tender Master Data'!C3:C1000=DASHBOARD!A6, 'Tender Master Data'!D3:D1000=DASHBOARD!A8), """")"),"T003")</f>
        <v>T003</v>
      </c>
      <c r="O2" s="13">
        <f>IFERROR(IF(ISNUMBER(DASHBOARD!A10), DATE(YEAR(DASHBOARD!A10), MONTH(DASHBOARD!A10), 1), DATEVALUE("1 "&amp;DASHBOARD!A10)), "")</f>
        <v>46174</v>
      </c>
      <c r="P2" s="3" t="str">
        <f>IFERROR(DATEVALUE("1 "&amp;DASHBOARD!A10), "")</f>
        <v/>
      </c>
    </row>
    <row r="3">
      <c r="A3" s="3" t="s">
        <v>23</v>
      </c>
      <c r="C3" s="3" t="str">
        <f>IFERROR(__xludf.DUMMYFUNCTION("""COMPUTED_VALUE"""),"Office Cleaning")</f>
        <v>Office Cleaning</v>
      </c>
      <c r="E3" s="3" t="s">
        <v>28</v>
      </c>
      <c r="G3" s="8" t="s">
        <v>29</v>
      </c>
    </row>
    <row r="4">
      <c r="A4" s="3" t="s">
        <v>30</v>
      </c>
      <c r="E4" s="3" t="s">
        <v>24</v>
      </c>
      <c r="G4" s="8" t="s">
        <v>32</v>
      </c>
    </row>
    <row r="5">
      <c r="A5" s="3"/>
      <c r="E5" s="3"/>
      <c r="G5" s="8" t="s">
        <v>33</v>
      </c>
    </row>
    <row r="6">
      <c r="G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14"/>
    <col customWidth="1" min="4" max="4" width="1.86"/>
    <col customWidth="1" min="5" max="5" width="31.14"/>
    <col customWidth="1" min="7" max="7" width="1.29"/>
    <col customWidth="1" min="8" max="8" width="20.71"/>
    <col customWidth="1" min="9" max="9" width="11.0"/>
    <col customWidth="1" min="10" max="10" width="1.43"/>
    <col customWidth="1" min="11" max="11" width="27.43"/>
    <col customWidth="1" min="13" max="13" width="1.71"/>
    <col customWidth="1" min="14" max="14" width="18.86"/>
    <col customWidth="1" min="15" max="20" width="14.57"/>
    <col customWidth="1" min="21" max="21" width="19.71"/>
  </cols>
  <sheetData>
    <row r="1">
      <c r="A1" s="19" t="str">
        <f>"TENDER DASHBOARD| " &amp; TEXT(TODAY(), "dd-mmmm-yyyy")</f>
        <v>TENDER DASHBOARD| 04-October-2026</v>
      </c>
      <c r="P1" s="20"/>
      <c r="Q1" s="20"/>
      <c r="R1" s="20"/>
      <c r="S1" s="20"/>
      <c r="T1" s="20"/>
      <c r="U1" s="20"/>
    </row>
    <row r="2">
      <c r="P2" s="20"/>
      <c r="Q2" s="20"/>
      <c r="R2" s="20"/>
      <c r="S2" s="20"/>
      <c r="T2" s="20"/>
      <c r="U2" s="20"/>
    </row>
    <row r="3" ht="6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>
      <c r="A4" s="22" t="s">
        <v>63</v>
      </c>
      <c r="B4" s="23"/>
      <c r="C4" s="24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>
      <c r="A5" s="25" t="s">
        <v>65</v>
      </c>
      <c r="C5" s="26"/>
      <c r="D5" s="21"/>
      <c r="E5" s="27" t="s">
        <v>66</v>
      </c>
      <c r="F5" s="24"/>
      <c r="G5" s="28"/>
      <c r="H5" s="27" t="s">
        <v>67</v>
      </c>
      <c r="I5" s="24"/>
      <c r="J5" s="28"/>
      <c r="K5" s="29" t="s">
        <v>68</v>
      </c>
      <c r="M5" s="21"/>
      <c r="N5" s="30" t="s">
        <v>69</v>
      </c>
      <c r="O5" s="24"/>
      <c r="P5" s="31"/>
      <c r="Q5" s="31"/>
      <c r="R5" s="31"/>
      <c r="S5" s="31"/>
      <c r="T5" s="31"/>
      <c r="U5" s="31"/>
    </row>
    <row r="6">
      <c r="A6" s="32" t="s">
        <v>35</v>
      </c>
      <c r="C6" s="26"/>
      <c r="D6" s="21"/>
      <c r="E6" s="33"/>
      <c r="F6" s="26"/>
      <c r="G6" s="28"/>
      <c r="H6" s="33"/>
      <c r="I6" s="26"/>
      <c r="J6" s="28"/>
      <c r="M6" s="21"/>
      <c r="N6" s="33"/>
      <c r="O6" s="26"/>
      <c r="P6" s="31"/>
      <c r="Q6" s="31"/>
      <c r="R6" s="31"/>
      <c r="S6" s="31"/>
      <c r="T6" s="31"/>
      <c r="U6" s="31"/>
    </row>
    <row r="7">
      <c r="A7" s="25" t="s">
        <v>71</v>
      </c>
      <c r="C7" s="26"/>
      <c r="D7" s="21"/>
      <c r="E7" s="34">
        <f>SUMIFS('RA Bill Tracker'!G3:G999, 'RA Bill Tracker'!D3:D999, 'Helper Sheet'!L2)</f>
        <v>600000</v>
      </c>
      <c r="F7" s="26"/>
      <c r="G7" s="21"/>
      <c r="H7" s="35">
        <f>SUMIFS('RA Bill Tracker'!H3:H999,'RA Bill Tracker'!D3:D999,'Helper Sheet'!L2)</f>
        <v>200000</v>
      </c>
      <c r="I7" s="26"/>
      <c r="J7" s="21"/>
      <c r="K7" s="36">
        <f>SUMIFS('RA Bill Tracker'!I3:I999,'RA Bill Tracker'!D3:D999,'Helper Sheet'!L2)</f>
        <v>400000</v>
      </c>
      <c r="L7" s="26"/>
      <c r="M7" s="21"/>
      <c r="N7" s="34">
        <f>SUMIFS('Bank Transactions'!H3:H999, 'Bank Transactions'!D3:D999, 'Helper Sheet'!L2, 'Bank Transactions'!G3:G999, "Opening Balance") + SUMIFS('Bank Transactions'!H3:H999, 'Bank Transactions'!D3:D999, 'Helper Sheet'!L2, 'Bank Transactions'!G3:G999, "Credit") - SUMIFS('Bank Transactions'!H3:H999, 'Bank Transactions'!D3:D999, 'Helper Sheet'!L2, 'Bank Transactions'!G3:G999, "Debit")</f>
        <v>175000</v>
      </c>
      <c r="O7" s="26"/>
      <c r="P7" s="37"/>
      <c r="Q7" s="37"/>
      <c r="R7" s="37"/>
      <c r="S7" s="37"/>
      <c r="T7" s="37"/>
      <c r="U7" s="37"/>
    </row>
    <row r="8">
      <c r="A8" s="32" t="s">
        <v>45</v>
      </c>
      <c r="C8" s="26"/>
      <c r="D8" s="21"/>
      <c r="E8" s="38"/>
      <c r="F8" s="39"/>
      <c r="G8" s="21"/>
      <c r="H8" s="38"/>
      <c r="I8" s="39"/>
      <c r="J8" s="21"/>
      <c r="K8" s="38"/>
      <c r="L8" s="39"/>
      <c r="M8" s="21"/>
      <c r="N8" s="38"/>
      <c r="O8" s="39"/>
      <c r="P8" s="37"/>
      <c r="Q8" s="37"/>
      <c r="R8" s="37"/>
      <c r="S8" s="37"/>
      <c r="T8" s="37"/>
      <c r="U8" s="37"/>
    </row>
    <row r="9">
      <c r="A9" s="25" t="s">
        <v>74</v>
      </c>
      <c r="C9" s="26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>
      <c r="A10" s="40">
        <v>46174.0</v>
      </c>
      <c r="B10" s="41"/>
      <c r="C10" s="39"/>
      <c r="D10" s="21"/>
      <c r="E10" s="42" t="s">
        <v>77</v>
      </c>
      <c r="F10" s="24"/>
      <c r="G10" s="21"/>
      <c r="H10" s="43" t="s">
        <v>78</v>
      </c>
      <c r="I10" s="24"/>
      <c r="J10" s="21"/>
      <c r="K10" s="42" t="s">
        <v>79</v>
      </c>
      <c r="L10" s="24"/>
      <c r="M10" s="21"/>
      <c r="N10" s="42" t="s">
        <v>80</v>
      </c>
      <c r="O10" s="24"/>
      <c r="P10" s="28"/>
      <c r="Q10" s="28"/>
      <c r="R10" s="28"/>
      <c r="S10" s="28"/>
      <c r="T10" s="28"/>
      <c r="U10" s="28"/>
    </row>
    <row r="11">
      <c r="A11" s="21"/>
      <c r="B11" s="21"/>
      <c r="C11" s="21"/>
      <c r="D11" s="21"/>
      <c r="E11" s="38"/>
      <c r="F11" s="39"/>
      <c r="G11" s="21"/>
      <c r="H11" s="38"/>
      <c r="I11" s="39"/>
      <c r="J11" s="21"/>
      <c r="K11" s="33"/>
      <c r="L11" s="26"/>
      <c r="M11" s="21"/>
      <c r="N11" s="38"/>
      <c r="O11" s="39"/>
      <c r="P11" s="28"/>
      <c r="Q11" s="28"/>
      <c r="R11" s="28"/>
      <c r="S11" s="28"/>
      <c r="T11" s="28"/>
      <c r="U11" s="28"/>
    </row>
    <row r="12">
      <c r="A12" s="44" t="s">
        <v>81</v>
      </c>
      <c r="B12" s="23"/>
      <c r="C12" s="24"/>
      <c r="D12" s="21"/>
      <c r="E12" s="45" t="s">
        <v>82</v>
      </c>
      <c r="F12" s="46">
        <f>SUMIFS('Salary Tracker'!H3:H999,'Salary Tracker'!D3:D999,'Helper Sheet'!$L$2)</f>
        <v>24000</v>
      </c>
      <c r="G12" s="47"/>
      <c r="H12" s="48" t="s">
        <v>83</v>
      </c>
      <c r="I12" s="46">
        <f>SUMIFS('FDR-BG Tracker'!G3:G999, 'FDR-BG Tracker'!C3:C999, 'Helper Sheet'!L2, 'FDR-BG Tracker'!F3:F999, "FDR")+SUMIFS('FDR-BG Tracker'!G3:G999, 'FDR-BG Tracker'!C3:C999, 'Helper Sheet'!L2, 'FDR-BG Tracker'!F3:F999, "BG")</f>
        <v>150000</v>
      </c>
      <c r="J12" s="47"/>
      <c r="K12" s="49" t="s">
        <v>84</v>
      </c>
      <c r="L12" s="50" t="str">
        <f>IFERROR(__xludf.DUMMYFUNCTION("IFERROR(FILTER('Tender Master Data'!E3:E999, 'Tender Master Data'!C3:C999=DASHBOARD!A6, 'Tender Master Data'!D3:D999=DASHBOARD!A8), """")"),"Rohit")</f>
        <v>Rohit</v>
      </c>
      <c r="M12" s="21"/>
      <c r="N12" s="51" t="s">
        <v>85</v>
      </c>
      <c r="O12" s="52"/>
      <c r="P12" s="21"/>
      <c r="Q12" s="21"/>
      <c r="R12" s="21"/>
      <c r="S12" s="21"/>
      <c r="T12" s="21"/>
      <c r="U12" s="21"/>
    </row>
    <row r="13">
      <c r="A13" s="25" t="s">
        <v>86</v>
      </c>
      <c r="C13" s="26"/>
      <c r="D13" s="21"/>
      <c r="E13" s="45" t="s">
        <v>87</v>
      </c>
      <c r="F13" s="53">
        <f>MAXIFS('Salary Tracker'!B3:B999, 'Salary Tracker'!D3:D999, 'Helper Sheet'!L2)</f>
        <v>46174</v>
      </c>
      <c r="G13" s="47"/>
      <c r="H13" s="48" t="s">
        <v>88</v>
      </c>
      <c r="I13" s="46" t="str">
        <f>IFERROR(__xludf.DUMMYFUNCTION("IFERROR(TEXTJOIN("", "", TRUE, FILTER('FDR-BG Tracker'!F3:F999, 'FDR-BG Tracker'!C3:C999='Helper Sheet'!L2)), """")"),"BG")</f>
        <v>BG</v>
      </c>
      <c r="J13" s="47"/>
      <c r="K13" s="49" t="s">
        <v>89</v>
      </c>
      <c r="L13" s="50">
        <f>SUMIFS('Supervisor Tracker'!H3:H999, 'Supervisor Tracker'!D3:D999, 'Helper Sheet'!L2)</f>
        <v>40000</v>
      </c>
      <c r="M13" s="21"/>
      <c r="N13" s="54">
        <f>IF(OR(A22="", A24=""), "", MAX(0, MIN(1, (TODAY() - A22) / (IF(A26&lt;&gt;"", A26, A24) - A22))))</f>
        <v>0.5868544601</v>
      </c>
      <c r="O13" s="52"/>
      <c r="P13" s="55"/>
      <c r="Q13" s="55"/>
      <c r="R13" s="55"/>
      <c r="S13" s="55"/>
      <c r="T13" s="55"/>
      <c r="U13" s="55"/>
    </row>
    <row r="14">
      <c r="A14" s="56" t="str">
        <f>$A$6&amp;" | "&amp;$A$8</f>
        <v>ABC Facility Solutions | Campus Security</v>
      </c>
      <c r="C14" s="26"/>
      <c r="D14" s="21"/>
      <c r="E14" s="45" t="s">
        <v>90</v>
      </c>
      <c r="F14" s="57">
        <f>SUMIFS('Salary Tracker'!I3:I999,'Salary Tracker'!D3:D999,'Helper Sheet'!$L$2)</f>
        <v>24000</v>
      </c>
      <c r="G14" s="47"/>
      <c r="H14" s="48" t="s">
        <v>91</v>
      </c>
      <c r="I14" s="46" t="str">
        <f>IFERROR(__xludf.DUMMYFUNCTION("IFERROR(TEXTJOIN("", "", TRUE, FILTER('FDR-BG Tracker'!H3:H999, 'FDR-BG Tracker'!C3:C999='Helper Sheet'!L2)), """")"),"HDFC")</f>
        <v>HDFC</v>
      </c>
      <c r="J14" s="47"/>
      <c r="K14" s="49"/>
      <c r="L14" s="50"/>
      <c r="M14" s="21"/>
      <c r="N14" s="51" t="s">
        <v>92</v>
      </c>
      <c r="O14" s="52"/>
      <c r="P14" s="21"/>
      <c r="Q14" s="21"/>
      <c r="R14" s="21"/>
      <c r="S14" s="21"/>
      <c r="T14" s="21"/>
      <c r="U14" s="21"/>
    </row>
    <row r="15">
      <c r="A15" s="25" t="s">
        <v>93</v>
      </c>
      <c r="C15" s="26"/>
      <c r="D15" s="21"/>
      <c r="E15" s="45" t="s">
        <v>94</v>
      </c>
      <c r="F15" s="57">
        <f>SUMIFS('Salary Tracker'!J3:J999, 'Salary Tracker'!D3:D999, 'Helper Sheet'!L2)</f>
        <v>0</v>
      </c>
      <c r="G15" s="47"/>
      <c r="H15" s="48" t="s">
        <v>95</v>
      </c>
      <c r="I15" s="58" t="str">
        <f>IFERROR(__xludf.DUMMYFUNCTION("IFERROR(TEXTJOIN("", "", TRUE, FILTER('FDR-BG Tracker'!K3:K999, 'FDR-BG Tracker'!C3:C999='Helper Sheet'!L2)), """")"),"Active")</f>
        <v>Active</v>
      </c>
      <c r="J15" s="47"/>
      <c r="K15" s="59" t="s">
        <v>96</v>
      </c>
      <c r="L15" s="60">
        <f>SUMIFS('Supervisor Tracker'!I3:I999, 'Supervisor Tracker'!D3:D999, 'Helper Sheet'!L2) + SUMIFS('Supervisor Tracker'!J3:J999, 'Supervisor Tracker'!D3:D999, 'Helper Sheet'!L2)</f>
        <v>30000</v>
      </c>
      <c r="M15" s="21"/>
      <c r="N15" s="61">
        <f>IF(N13="", "", 1 - N13)</f>
        <v>0.4131455399</v>
      </c>
      <c r="O15" s="52"/>
      <c r="P15" s="62"/>
      <c r="Q15" s="62"/>
      <c r="R15" s="62"/>
      <c r="S15" s="62"/>
      <c r="T15" s="62"/>
      <c r="U15" s="62"/>
    </row>
    <row r="16">
      <c r="A16" s="63" t="str">
        <f>A6&amp;" | "&amp;A8&amp;" | "&amp;IF(ISNUMBER(A10), TEXT(A10,"mmm yyyy"), A10)</f>
        <v>ABC Facility Solutions | Campus Security | Jun 2026</v>
      </c>
      <c r="C16" s="26"/>
      <c r="D16" s="21"/>
      <c r="E16" s="45" t="s">
        <v>97</v>
      </c>
      <c r="F16" s="57">
        <f>SUMIFS('Expense Tracker'!I3:I999, 'Expense Tracker'!D3:D999, 'Helper Sheet'!L2)</f>
        <v>20200</v>
      </c>
      <c r="G16" s="47"/>
      <c r="J16" s="47"/>
      <c r="K16" s="33"/>
      <c r="L16" s="26"/>
      <c r="M16" s="21"/>
      <c r="N16" s="21"/>
      <c r="O16" s="21"/>
      <c r="P16" s="21"/>
      <c r="Q16" s="21"/>
      <c r="R16" s="21"/>
      <c r="S16" s="21"/>
      <c r="T16" s="21"/>
      <c r="U16" s="21"/>
    </row>
    <row r="17">
      <c r="A17" s="25" t="s">
        <v>98</v>
      </c>
      <c r="C17" s="26"/>
      <c r="D17" s="21"/>
      <c r="E17" s="45" t="s">
        <v>99</v>
      </c>
      <c r="F17" s="64">
        <f>SUMIFS('Expense Tracker'!I3:I999, 'Expense Tracker'!D3:D999, 'Helper Sheet'!L2, 'Expense Tracker'!B3:B999, "&gt;="&amp;'Helper Sheet'!O2, 'Expense Tracker'!B3:B999, "&lt;"&amp;EDATE('Helper Sheet'!O2,1))</f>
        <v>18000</v>
      </c>
      <c r="G17" s="47"/>
      <c r="H17" s="65" t="s">
        <v>100</v>
      </c>
      <c r="I17" s="52"/>
      <c r="J17" s="62"/>
      <c r="K17" s="59" t="s">
        <v>101</v>
      </c>
      <c r="L17" s="66">
        <f>SUMIFS('Supervisor Tracker'!K3:K999, 'Supervisor Tracker'!D3:D999, 'Helper Sheet'!L2)</f>
        <v>10000</v>
      </c>
      <c r="M17" s="21"/>
      <c r="N17" s="21"/>
      <c r="O17" s="21"/>
      <c r="P17" s="21"/>
      <c r="Q17" s="21"/>
      <c r="R17" s="21"/>
      <c r="S17" s="21"/>
      <c r="T17" s="21"/>
      <c r="U17" s="21"/>
    </row>
    <row r="18">
      <c r="A18" s="67"/>
      <c r="C18" s="26"/>
      <c r="D18" s="21"/>
      <c r="E18" s="45" t="s">
        <v>102</v>
      </c>
      <c r="F18" s="58">
        <f>H7-F16-F14</f>
        <v>155800</v>
      </c>
      <c r="G18" s="47"/>
      <c r="H18" s="68" t="str">
        <f>A6</f>
        <v>ABC Facility Solutions</v>
      </c>
      <c r="I18" s="52"/>
      <c r="J18" s="21"/>
      <c r="K18" s="38"/>
      <c r="L18" s="39"/>
      <c r="M18" s="21"/>
      <c r="N18" s="21"/>
      <c r="O18" s="21"/>
      <c r="P18" s="21"/>
      <c r="Q18" s="21"/>
      <c r="R18" s="21"/>
      <c r="S18" s="21"/>
      <c r="T18" s="21"/>
      <c r="U18" s="21"/>
    </row>
    <row r="19">
      <c r="A19" s="25" t="s">
        <v>103</v>
      </c>
      <c r="C19" s="26"/>
      <c r="D19" s="21"/>
      <c r="E19" s="21"/>
      <c r="F19" s="21"/>
      <c r="G19" s="21"/>
      <c r="H19" s="69">
        <f>N7</f>
        <v>175000</v>
      </c>
      <c r="I19" s="5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>
      <c r="A20" s="70">
        <f>IFERROR(__xludf.DUMMYFUNCTION("IFERROR(FILTER('Tender Master Data'!F3:F999, 'Tender Master Data'!C3:C999=A6, 'Tender Master Data'!D3:D999=A8), """")"),4000000.0)</f>
        <v>4000000</v>
      </c>
      <c r="C20" s="26"/>
      <c r="D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>
      <c r="A21" s="25" t="s">
        <v>104</v>
      </c>
      <c r="C21" s="26"/>
      <c r="D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>
      <c r="A22" s="71">
        <f>IFERROR(__xludf.DUMMYFUNCTION("IFERROR(FILTER('Tender Master Data'!G3:G999, 'Tender Master Data'!C3:C999=A6, 'Tender Master Data'!D3:D999=A8), """")"),46174.0)</f>
        <v>46174</v>
      </c>
      <c r="C22" s="26"/>
      <c r="D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>
      <c r="A23" s="25" t="s">
        <v>105</v>
      </c>
      <c r="C23" s="26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>
      <c r="A24" s="71">
        <f>IFERROR(__xludf.DUMMYFUNCTION("IFERROR(FILTER('Tender Master Data'!I3:I999, 'Tender Master Data'!C3:C999=A6, 'Tender Master Data'!D3:D999=A8), """")"),46387.0)</f>
        <v>46387</v>
      </c>
      <c r="C24" s="26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>
      <c r="A25" s="25" t="s">
        <v>106</v>
      </c>
      <c r="C25" s="26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>
      <c r="A26" s="67"/>
      <c r="C26" s="26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>
      <c r="A27" s="25" t="s">
        <v>2</v>
      </c>
      <c r="C27" s="26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>
      <c r="A28" s="72" t="str">
        <f>IFERROR(__xludf.DUMMYFUNCTION("IFERROR(FILTER('Company Master Data'!C3:C999, 'Company Master Data'!B3:B999=A6), """")"),"Delhi")</f>
        <v>Delhi</v>
      </c>
      <c r="B28" s="41"/>
      <c r="C28" s="39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</row>
  </sheetData>
  <mergeCells count="48">
    <mergeCell ref="H17:I17"/>
    <mergeCell ref="H18:I18"/>
    <mergeCell ref="A1:O2"/>
    <mergeCell ref="A4:C4"/>
    <mergeCell ref="A5:C5"/>
    <mergeCell ref="E5:F6"/>
    <mergeCell ref="H5:I6"/>
    <mergeCell ref="K5:L6"/>
    <mergeCell ref="N5:O6"/>
    <mergeCell ref="A6:C6"/>
    <mergeCell ref="A7:C7"/>
    <mergeCell ref="E7:F8"/>
    <mergeCell ref="H7:I8"/>
    <mergeCell ref="K7:L8"/>
    <mergeCell ref="N7:O8"/>
    <mergeCell ref="A8:C8"/>
    <mergeCell ref="A9:C9"/>
    <mergeCell ref="A10:C10"/>
    <mergeCell ref="E10:F11"/>
    <mergeCell ref="H10:I11"/>
    <mergeCell ref="K10:L11"/>
    <mergeCell ref="N10:O11"/>
    <mergeCell ref="N12:O12"/>
    <mergeCell ref="A19:C19"/>
    <mergeCell ref="A20:C20"/>
    <mergeCell ref="H19:I19"/>
    <mergeCell ref="A21:C21"/>
    <mergeCell ref="A22:C22"/>
    <mergeCell ref="A23:C23"/>
    <mergeCell ref="A24:C24"/>
    <mergeCell ref="A25:C25"/>
    <mergeCell ref="A26:C26"/>
    <mergeCell ref="A27:C27"/>
    <mergeCell ref="A28:C28"/>
    <mergeCell ref="A12:C12"/>
    <mergeCell ref="A13:C13"/>
    <mergeCell ref="A14:C14"/>
    <mergeCell ref="A15:C15"/>
    <mergeCell ref="A16:C16"/>
    <mergeCell ref="A17:C17"/>
    <mergeCell ref="A18:C18"/>
    <mergeCell ref="N13:O13"/>
    <mergeCell ref="N14:O14"/>
    <mergeCell ref="L15:L16"/>
    <mergeCell ref="N15:O15"/>
    <mergeCell ref="K17:K18"/>
    <mergeCell ref="L17:L18"/>
    <mergeCell ref="K15:K16"/>
  </mergeCells>
  <dataValidations>
    <dataValidation type="list" allowBlank="1" showErrorMessage="1" sqref="A8">
      <formula1>'Helper Sheet'!$C$2:$C$6</formula1>
    </dataValidation>
    <dataValidation type="list" allowBlank="1" showErrorMessage="1" sqref="A6">
      <formula1>'Helper Sheet'!$A$2:$A$4</formula1>
    </dataValidation>
    <dataValidation type="list" allowBlank="1" sqref="A10">
      <formula1>'Helper Sheet'!$I$2:$I999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4" width="18.0"/>
    <col customWidth="1" min="5" max="5" width="14.0"/>
    <col customWidth="1" min="6" max="26" width="8.71"/>
  </cols>
  <sheetData>
    <row r="1" ht="30.0" customHeight="1">
      <c r="A1" s="4" t="s">
        <v>8</v>
      </c>
      <c r="B1" s="5"/>
      <c r="C1" s="5"/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10" t="s">
        <v>10</v>
      </c>
      <c r="B2" s="10" t="s">
        <v>11</v>
      </c>
      <c r="C2" s="10" t="s">
        <v>13</v>
      </c>
      <c r="D2" s="10" t="s">
        <v>16</v>
      </c>
      <c r="E2" s="10" t="s">
        <v>18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21</v>
      </c>
      <c r="B3" s="14" t="s">
        <v>23</v>
      </c>
      <c r="C3" s="14" t="s">
        <v>24</v>
      </c>
      <c r="D3" s="14" t="s">
        <v>26</v>
      </c>
      <c r="E3" s="14" t="s">
        <v>31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40</v>
      </c>
      <c r="B5" s="14" t="s">
        <v>30</v>
      </c>
      <c r="C5" s="14" t="s">
        <v>28</v>
      </c>
      <c r="D5" s="14" t="s">
        <v>42</v>
      </c>
      <c r="E5" s="14" t="s">
        <v>31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customSheetViews>
    <customSheetView guid="{D11D38C8-55F4-49C1-87FB-3B5B2EBC6C6B}" filter="1" showAutoFilter="1">
      <autoFilter ref="$A$2:$E$5"/>
    </customSheetView>
  </customSheetViews>
  <mergeCells count="1">
    <mergeCell ref="A1:F1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8.0"/>
    <col customWidth="1" min="4" max="4" width="26.0"/>
    <col customWidth="1" min="5" max="6" width="20.0"/>
    <col customWidth="1" min="7" max="7" width="16.0"/>
    <col customWidth="1" min="8" max="8" width="19.86"/>
    <col customWidth="1" min="9" max="9" width="16.0"/>
    <col customWidth="1" min="10" max="10" width="14.0"/>
    <col customWidth="1" min="11" max="11" width="18.0"/>
    <col customWidth="1" min="12" max="28" width="8.71"/>
  </cols>
  <sheetData>
    <row r="1" ht="30.0" customHeight="1">
      <c r="A1" s="4" t="s">
        <v>7</v>
      </c>
      <c r="B1" s="5"/>
      <c r="C1" s="5"/>
      <c r="D1" s="5"/>
      <c r="E1" s="5"/>
      <c r="F1" s="5"/>
      <c r="G1" s="5"/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1.5" customHeight="1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14</v>
      </c>
      <c r="F2" s="10" t="s">
        <v>15</v>
      </c>
      <c r="G2" s="10" t="s">
        <v>17</v>
      </c>
      <c r="H2" s="12" t="s">
        <v>3</v>
      </c>
      <c r="I2" s="10" t="s">
        <v>19</v>
      </c>
      <c r="J2" s="10" t="s">
        <v>18</v>
      </c>
      <c r="K2" s="10" t="s">
        <v>20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4" t="s">
        <v>22</v>
      </c>
      <c r="B3" s="14" t="s">
        <v>21</v>
      </c>
      <c r="C3" s="14" t="s">
        <v>23</v>
      </c>
      <c r="D3" s="14" t="s">
        <v>25</v>
      </c>
      <c r="E3" s="15" t="s">
        <v>27</v>
      </c>
      <c r="F3" s="14">
        <v>5000000.0</v>
      </c>
      <c r="G3" s="16">
        <v>46113.0</v>
      </c>
      <c r="H3" s="17" t="str">
        <f t="shared" ref="H3:H7" si="1">TEXT(G3,"MMM YYY")</f>
        <v>Apr 2026</v>
      </c>
      <c r="I3" s="16">
        <v>46477.0</v>
      </c>
      <c r="J3" s="14" t="s">
        <v>31</v>
      </c>
      <c r="K3" s="14" t="s">
        <v>26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4" t="s">
        <v>38</v>
      </c>
      <c r="B4" s="14" t="s">
        <v>21</v>
      </c>
      <c r="C4" s="14" t="s">
        <v>23</v>
      </c>
      <c r="D4" s="14" t="s">
        <v>39</v>
      </c>
      <c r="E4" s="15" t="s">
        <v>41</v>
      </c>
      <c r="F4" s="14">
        <v>3000000.0</v>
      </c>
      <c r="G4" s="16">
        <v>46143.0</v>
      </c>
      <c r="H4" s="17" t="str">
        <f t="shared" si="1"/>
        <v>May 2026</v>
      </c>
      <c r="I4" s="16">
        <v>46507.0</v>
      </c>
      <c r="J4" s="14" t="s">
        <v>31</v>
      </c>
      <c r="K4" s="14" t="s">
        <v>43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4" t="s">
        <v>44</v>
      </c>
      <c r="B5" s="14" t="s">
        <v>34</v>
      </c>
      <c r="C5" s="14" t="s">
        <v>35</v>
      </c>
      <c r="D5" s="14" t="s">
        <v>45</v>
      </c>
      <c r="E5" s="15" t="s">
        <v>46</v>
      </c>
      <c r="F5" s="14">
        <v>4000000.0</v>
      </c>
      <c r="G5" s="16">
        <v>46174.0</v>
      </c>
      <c r="H5" s="17" t="str">
        <f t="shared" si="1"/>
        <v>Jun 2026</v>
      </c>
      <c r="I5" s="16">
        <v>46387.0</v>
      </c>
      <c r="J5" s="14" t="s">
        <v>31</v>
      </c>
      <c r="K5" s="14" t="s">
        <v>37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4" t="s">
        <v>47</v>
      </c>
      <c r="B6" s="14" t="s">
        <v>34</v>
      </c>
      <c r="C6" s="14" t="s">
        <v>35</v>
      </c>
      <c r="D6" s="14" t="s">
        <v>48</v>
      </c>
      <c r="E6" s="15" t="s">
        <v>49</v>
      </c>
      <c r="F6" s="14">
        <v>2500000.0</v>
      </c>
      <c r="G6" s="16">
        <v>46204.0</v>
      </c>
      <c r="H6" s="17" t="str">
        <f t="shared" si="1"/>
        <v>Jul 2026</v>
      </c>
      <c r="I6" s="16">
        <v>46568.0</v>
      </c>
      <c r="J6" s="14" t="s">
        <v>31</v>
      </c>
      <c r="K6" s="14" t="s">
        <v>50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4" t="s">
        <v>51</v>
      </c>
      <c r="B7" s="14" t="s">
        <v>40</v>
      </c>
      <c r="C7" s="14" t="s">
        <v>30</v>
      </c>
      <c r="D7" s="14" t="s">
        <v>52</v>
      </c>
      <c r="E7" s="15" t="s">
        <v>53</v>
      </c>
      <c r="F7" s="14">
        <v>3500000.0</v>
      </c>
      <c r="G7" s="16">
        <v>46127.0</v>
      </c>
      <c r="H7" s="17" t="str">
        <f t="shared" si="1"/>
        <v>Apr 2026</v>
      </c>
      <c r="I7" s="16">
        <v>46491.0</v>
      </c>
      <c r="J7" s="14" t="s">
        <v>31</v>
      </c>
      <c r="K7" s="14" t="s">
        <v>42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</sheetData>
  <customSheetViews>
    <customSheetView guid="{6BDC116A-C9E1-4AAC-A307-512AED4322A3}" filter="1" showAutoFilter="1">
      <autoFilter ref="$A$2:$K$7"/>
    </customSheetView>
  </customSheetViews>
  <mergeCells count="1">
    <mergeCell ref="A1:J1"/>
  </mergeCells>
  <dataValidations>
    <dataValidation type="custom" allowBlank="1" showDropDown="1" sqref="G3:G7">
      <formula1>OR(NOT(ISERROR(DATEVALUE(G3))), AND(ISNUMBER(G3), LEFT(CELL("format", G3))="D"))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4" width="14.0"/>
    <col customWidth="1" min="5" max="5" width="28.0"/>
    <col customWidth="1" min="6" max="6" width="20.57"/>
    <col customWidth="1" min="7" max="9" width="18.0"/>
    <col customWidth="1" min="10" max="10" width="20.0"/>
    <col customWidth="1" min="11" max="11" width="22.0"/>
    <col customWidth="1" min="12" max="27" width="8.71"/>
  </cols>
  <sheetData>
    <row r="1" ht="30.0" customHeight="1">
      <c r="A1" s="4" t="s">
        <v>54</v>
      </c>
      <c r="B1" s="5"/>
      <c r="C1" s="5"/>
      <c r="D1" s="5"/>
      <c r="E1" s="5"/>
      <c r="F1" s="5"/>
      <c r="G1" s="5"/>
      <c r="H1" s="5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31.5" customHeight="1">
      <c r="A2" s="10" t="s">
        <v>55</v>
      </c>
      <c r="B2" s="10" t="s">
        <v>56</v>
      </c>
      <c r="C2" s="10" t="s">
        <v>10</v>
      </c>
      <c r="D2" s="10" t="s">
        <v>9</v>
      </c>
      <c r="E2" s="10" t="s">
        <v>11</v>
      </c>
      <c r="F2" s="10" t="s">
        <v>12</v>
      </c>
      <c r="G2" s="10" t="s">
        <v>57</v>
      </c>
      <c r="H2" s="10" t="s">
        <v>58</v>
      </c>
      <c r="I2" s="10" t="s">
        <v>59</v>
      </c>
      <c r="J2" s="10" t="s">
        <v>60</v>
      </c>
      <c r="K2" s="10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4" t="s">
        <v>61</v>
      </c>
      <c r="B3" s="17">
        <v>46178.0</v>
      </c>
      <c r="C3" s="14" t="s">
        <v>21</v>
      </c>
      <c r="D3" s="14" t="s">
        <v>22</v>
      </c>
      <c r="E3" s="14" t="s">
        <v>23</v>
      </c>
      <c r="F3" s="18" t="str">
        <f>VLOOKUP(D3,TenderMaster[[Tender ID]:[Tender Name]],4,0)</f>
        <v>Hospital Housekeeping</v>
      </c>
      <c r="G3" s="18">
        <v>500000.0</v>
      </c>
      <c r="H3" s="18">
        <v>300000.0</v>
      </c>
      <c r="I3" s="18">
        <f t="shared" ref="I3:I7" si="1">G3-H3</f>
        <v>200000</v>
      </c>
      <c r="J3" s="17">
        <v>46193.0</v>
      </c>
      <c r="K3" s="14" t="s">
        <v>62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4" t="s">
        <v>64</v>
      </c>
      <c r="B4" s="17">
        <v>46183.0</v>
      </c>
      <c r="C4" s="14" t="s">
        <v>21</v>
      </c>
      <c r="D4" s="14" t="s">
        <v>38</v>
      </c>
      <c r="E4" s="14" t="s">
        <v>23</v>
      </c>
      <c r="F4" s="18" t="str">
        <f>VLOOKUP(D4,TenderMaster[[Tender ID]:[Tender Name]],4,0)</f>
        <v>Office Manpower</v>
      </c>
      <c r="G4" s="18">
        <v>400000.0</v>
      </c>
      <c r="H4" s="18">
        <v>400000.0</v>
      </c>
      <c r="I4" s="18">
        <f t="shared" si="1"/>
        <v>0</v>
      </c>
      <c r="J4" s="17">
        <v>46191.0</v>
      </c>
      <c r="K4" s="14" t="s">
        <v>70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4" t="s">
        <v>72</v>
      </c>
      <c r="B5" s="17">
        <v>46188.0</v>
      </c>
      <c r="C5" s="14" t="s">
        <v>34</v>
      </c>
      <c r="D5" s="14" t="s">
        <v>44</v>
      </c>
      <c r="E5" s="14" t="s">
        <v>35</v>
      </c>
      <c r="F5" s="18" t="str">
        <f>VLOOKUP(D5,TenderMaster[[Tender ID]:[Tender Name]],4,0)</f>
        <v>Campus Security</v>
      </c>
      <c r="G5" s="18">
        <v>600000.0</v>
      </c>
      <c r="H5" s="18">
        <v>200000.0</v>
      </c>
      <c r="I5" s="18">
        <f t="shared" si="1"/>
        <v>400000</v>
      </c>
      <c r="J5" s="17">
        <v>46198.0</v>
      </c>
      <c r="K5" s="14" t="s">
        <v>62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4" t="s">
        <v>73</v>
      </c>
      <c r="B6" s="17">
        <v>46208.0</v>
      </c>
      <c r="C6" s="14" t="s">
        <v>34</v>
      </c>
      <c r="D6" s="14" t="s">
        <v>47</v>
      </c>
      <c r="E6" s="14" t="s">
        <v>35</v>
      </c>
      <c r="F6" s="18" t="str">
        <f>VLOOKUP(D6,TenderMaster[[Tender ID]:[Tender Name]],4,0)</f>
        <v>Office Cleaning</v>
      </c>
      <c r="G6" s="18">
        <v>350000.0</v>
      </c>
      <c r="H6" s="18">
        <v>0.0</v>
      </c>
      <c r="I6" s="18">
        <f t="shared" si="1"/>
        <v>350000</v>
      </c>
      <c r="J6" s="14"/>
      <c r="K6" s="14" t="s">
        <v>75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4" t="s">
        <v>76</v>
      </c>
      <c r="B7" s="17">
        <v>46215.0</v>
      </c>
      <c r="C7" s="14" t="s">
        <v>40</v>
      </c>
      <c r="D7" s="14" t="s">
        <v>51</v>
      </c>
      <c r="E7" s="14" t="s">
        <v>30</v>
      </c>
      <c r="F7" s="18" t="str">
        <f>VLOOKUP(D7,TenderMaster[[Tender ID]:[Tender Name]],4,0)</f>
        <v>Road Maintenance</v>
      </c>
      <c r="G7" s="18">
        <v>450000.0</v>
      </c>
      <c r="H7" s="18">
        <v>250000.0</v>
      </c>
      <c r="I7" s="18">
        <f t="shared" si="1"/>
        <v>200000</v>
      </c>
      <c r="J7" s="17">
        <v>46231.0</v>
      </c>
      <c r="K7" s="14" t="s">
        <v>62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</sheetData>
  <customSheetViews>
    <customSheetView guid="{F4CE9BB1-58F5-4557-A2DF-D25726D711D7}" filter="1" showAutoFilter="1">
      <autoFilter ref="$A$2:$K$7"/>
    </customSheetView>
  </customSheetViews>
  <mergeCells count="1">
    <mergeCell ref="A1:I1"/>
  </mergeCells>
  <dataValidations>
    <dataValidation type="list" allowBlank="1" sqref="K3:K498">
      <formula1>"Pending,Partially Received,Received"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4" width="14.0"/>
    <col customWidth="1" min="5" max="5" width="22.71"/>
    <col customWidth="1" min="6" max="6" width="20.57"/>
    <col customWidth="1" min="7" max="7" width="20.0"/>
    <col customWidth="1" min="8" max="8" width="32.0"/>
    <col customWidth="1" min="9" max="9" width="18.0"/>
    <col customWidth="1" min="10" max="10" width="20.0"/>
    <col customWidth="1" min="11" max="28" width="8.71"/>
  </cols>
  <sheetData>
    <row r="1" ht="30.0" customHeight="1">
      <c r="A1" s="4" t="s">
        <v>107</v>
      </c>
      <c r="B1" s="5"/>
      <c r="C1" s="5"/>
      <c r="D1" s="5"/>
      <c r="E1" s="5"/>
      <c r="F1" s="5"/>
      <c r="G1" s="5"/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1.5" customHeight="1">
      <c r="A2" s="10" t="s">
        <v>108</v>
      </c>
      <c r="B2" s="10" t="s">
        <v>109</v>
      </c>
      <c r="C2" s="10" t="s">
        <v>10</v>
      </c>
      <c r="D2" s="10" t="s">
        <v>9</v>
      </c>
      <c r="E2" s="10" t="s">
        <v>11</v>
      </c>
      <c r="F2" s="10" t="s">
        <v>12</v>
      </c>
      <c r="G2" s="10" t="s">
        <v>110</v>
      </c>
      <c r="H2" s="10" t="s">
        <v>111</v>
      </c>
      <c r="I2" s="10" t="s">
        <v>112</v>
      </c>
      <c r="J2" s="10" t="s">
        <v>113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4" t="s">
        <v>114</v>
      </c>
      <c r="B3" s="17">
        <v>46174.0</v>
      </c>
      <c r="C3" s="14" t="s">
        <v>21</v>
      </c>
      <c r="D3" s="14" t="s">
        <v>22</v>
      </c>
      <c r="E3" s="14" t="str">
        <f t="array" ref="E3">_xlfn.XLOOKUP(C3,'Tender Master Data'!$B$3:$B$7,'Tender Master Data'!$C$3:$C$7)</f>
        <v>Micky Services Pvt Ltd</v>
      </c>
      <c r="F3" s="14" t="str">
        <f t="array" ref="F3">_xlfn.XLOOKUP(D3,'Tender Master Data'!$A$3:$A$7,'Tender Master Data'!$D$3:$D$7)</f>
        <v>Hospital Housekeeping</v>
      </c>
      <c r="G3" s="14" t="s">
        <v>115</v>
      </c>
      <c r="H3" s="14" t="s">
        <v>116</v>
      </c>
      <c r="I3" s="18">
        <v>45000.0</v>
      </c>
      <c r="J3" s="14" t="s">
        <v>117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4" t="s">
        <v>118</v>
      </c>
      <c r="B4" s="17">
        <v>46175.0</v>
      </c>
      <c r="C4" s="14" t="s">
        <v>21</v>
      </c>
      <c r="D4" s="14" t="s">
        <v>22</v>
      </c>
      <c r="E4" s="14" t="str">
        <f t="array" ref="E4">_xlfn.XLOOKUP(C4,'Tender Master Data'!$B$3:$B$7,'Tender Master Data'!$C$3:$C$7)</f>
        <v>Micky Services Pvt Ltd</v>
      </c>
      <c r="F4" s="14" t="str">
        <f t="array" ref="F4">_xlfn.XLOOKUP(D4,'Tender Master Data'!$A$3:$A$7,'Tender Master Data'!$D$3:$D$7)</f>
        <v>Hospital Housekeeping</v>
      </c>
      <c r="G4" s="14" t="s">
        <v>119</v>
      </c>
      <c r="H4" s="14" t="s">
        <v>120</v>
      </c>
      <c r="I4" s="18">
        <v>5000.0</v>
      </c>
      <c r="J4" s="14" t="s">
        <v>121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4" t="s">
        <v>122</v>
      </c>
      <c r="B5" s="17">
        <v>46176.0</v>
      </c>
      <c r="C5" s="14" t="s">
        <v>21</v>
      </c>
      <c r="D5" s="14" t="s">
        <v>38</v>
      </c>
      <c r="E5" s="14" t="str">
        <f t="array" ref="E5">_xlfn.XLOOKUP(C5,'Tender Master Data'!$B$3:$B$7,'Tender Master Data'!$C$3:$C$7)</f>
        <v>Micky Services Pvt Ltd</v>
      </c>
      <c r="F5" s="14" t="str">
        <f t="array" ref="F5">_xlfn.XLOOKUP(D5,'Tender Master Data'!$A$3:$A$7,'Tender Master Data'!$D$3:$D$7)</f>
        <v>Office Manpower</v>
      </c>
      <c r="G5" s="14" t="s">
        <v>123</v>
      </c>
      <c r="H5" s="14" t="s">
        <v>124</v>
      </c>
      <c r="I5" s="18">
        <v>2500.0</v>
      </c>
      <c r="J5" s="14" t="s">
        <v>125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4" t="s">
        <v>126</v>
      </c>
      <c r="B6" s="17">
        <v>46177.0</v>
      </c>
      <c r="C6" s="14" t="s">
        <v>34</v>
      </c>
      <c r="D6" s="14" t="s">
        <v>44</v>
      </c>
      <c r="E6" s="14" t="str">
        <f t="array" ref="E6">_xlfn.XLOOKUP(C6,'Tender Master Data'!$B$3:$B$7,'Tender Master Data'!$C$3:$C$7)</f>
        <v>ABC Facility Solutions</v>
      </c>
      <c r="F6" s="14" t="str">
        <f t="array" ref="F6">_xlfn.XLOOKUP(D6,'Tender Master Data'!$A$3:$A$7,'Tender Master Data'!$D$3:$D$7)</f>
        <v>Campus Security</v>
      </c>
      <c r="G6" s="14" t="s">
        <v>127</v>
      </c>
      <c r="H6" s="14" t="s">
        <v>128</v>
      </c>
      <c r="I6" s="18">
        <v>18000.0</v>
      </c>
      <c r="J6" s="14" t="s">
        <v>129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4" t="s">
        <v>130</v>
      </c>
      <c r="B7" s="17">
        <v>46179.0</v>
      </c>
      <c r="C7" s="14" t="s">
        <v>34</v>
      </c>
      <c r="D7" s="14" t="s">
        <v>47</v>
      </c>
      <c r="E7" s="14" t="str">
        <f t="array" ref="E7">_xlfn.XLOOKUP(C7,'Tender Master Data'!$B$3:$B$7,'Tender Master Data'!$C$3:$C$7)</f>
        <v>ABC Facility Solutions</v>
      </c>
      <c r="F7" s="14" t="str">
        <f t="array" ref="F7">_xlfn.XLOOKUP(D7,'Tender Master Data'!$A$3:$A$7,'Tender Master Data'!$D$3:$D$7)</f>
        <v>Office Cleaning</v>
      </c>
      <c r="G7" s="14" t="s">
        <v>119</v>
      </c>
      <c r="H7" s="14" t="s">
        <v>131</v>
      </c>
      <c r="I7" s="18">
        <v>3200.0</v>
      </c>
      <c r="J7" s="14" t="s">
        <v>132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4" t="s">
        <v>133</v>
      </c>
      <c r="B8" s="17">
        <v>46205.0</v>
      </c>
      <c r="C8" s="14" t="s">
        <v>40</v>
      </c>
      <c r="D8" s="14" t="s">
        <v>51</v>
      </c>
      <c r="E8" s="14" t="str">
        <f t="array" ref="E8">_xlfn.XLOOKUP(C8,'Tender Master Data'!$B$3:$B$7,'Tender Master Data'!$C$3:$C$7)</f>
        <v>XYZ Infra Services</v>
      </c>
      <c r="F8" s="14" t="str">
        <f t="array" ref="F8">_xlfn.XLOOKUP(D8,'Tender Master Data'!$A$3:$A$7,'Tender Master Data'!$D$3:$D$7)</f>
        <v>Road Maintenance</v>
      </c>
      <c r="G8" s="14" t="s">
        <v>134</v>
      </c>
      <c r="H8" s="14" t="s">
        <v>135</v>
      </c>
      <c r="I8" s="18">
        <v>27500.0</v>
      </c>
      <c r="J8" s="14" t="s">
        <v>136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4" t="s">
        <v>137</v>
      </c>
      <c r="B9" s="17">
        <v>46208.0</v>
      </c>
      <c r="C9" s="14" t="s">
        <v>21</v>
      </c>
      <c r="D9" s="14" t="s">
        <v>22</v>
      </c>
      <c r="E9" s="14" t="str">
        <f t="array" ref="E9">_xlfn.XLOOKUP(C9,'Tender Master Data'!$B$3:$B$7,'Tender Master Data'!$C$3:$C$7)</f>
        <v>Micky Services Pvt Ltd</v>
      </c>
      <c r="F9" s="14" t="str">
        <f t="array" ref="F9">_xlfn.XLOOKUP(D9,'Tender Master Data'!$A$3:$A$7,'Tender Master Data'!$D$3:$D$7)</f>
        <v>Hospital Housekeeping</v>
      </c>
      <c r="G9" s="14" t="s">
        <v>138</v>
      </c>
      <c r="H9" s="14" t="s">
        <v>139</v>
      </c>
      <c r="I9" s="18">
        <v>1800.0</v>
      </c>
      <c r="J9" s="14" t="s">
        <v>140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4" t="s">
        <v>141</v>
      </c>
      <c r="B10" s="17">
        <v>46211.0</v>
      </c>
      <c r="C10" s="14" t="s">
        <v>34</v>
      </c>
      <c r="D10" s="14" t="s">
        <v>44</v>
      </c>
      <c r="E10" s="14" t="str">
        <f t="array" ref="E10">_xlfn.XLOOKUP(C10,'Tender Master Data'!$B$3:$B$7,'Tender Master Data'!$C$3:$C$7)</f>
        <v>ABC Facility Solutions</v>
      </c>
      <c r="F10" s="14" t="str">
        <f t="array" ref="F10">_xlfn.XLOOKUP(D10,'Tender Master Data'!$A$3:$A$7,'Tender Master Data'!$D$3:$D$7)</f>
        <v>Campus Security</v>
      </c>
      <c r="G10" s="14" t="s">
        <v>123</v>
      </c>
      <c r="H10" s="14" t="s">
        <v>124</v>
      </c>
      <c r="I10" s="18">
        <v>2200.0</v>
      </c>
      <c r="J10" s="14" t="s">
        <v>142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</sheetData>
  <customSheetViews>
    <customSheetView guid="{2213D6F1-F1C0-4B5C-A3F0-9CEE01CB4C79}" filter="1" showAutoFilter="1">
      <autoFilter ref="$A$2:$J$10"/>
    </customSheetView>
  </customSheetViews>
  <mergeCells count="1">
    <mergeCell ref="A1:J1"/>
  </mergeCells>
  <dataValidations>
    <dataValidation type="list" allowBlank="1" sqref="G3:G998">
      <formula1>"Salary,Travel,Food,Equipment,Material,Other"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4" width="14.0"/>
    <col customWidth="1" min="5" max="5" width="19.86"/>
    <col customWidth="1" min="6" max="6" width="20.57"/>
    <col customWidth="1" min="7" max="8" width="20.0"/>
    <col customWidth="1" min="9" max="9" width="18.0"/>
    <col customWidth="1" min="10" max="10" width="20.0"/>
    <col customWidth="1" min="11" max="11" width="26.0"/>
    <col customWidth="1" min="12" max="28" width="8.71"/>
  </cols>
  <sheetData>
    <row r="1" ht="30.0" customHeight="1">
      <c r="A1" s="4" t="s">
        <v>143</v>
      </c>
      <c r="B1" s="5"/>
      <c r="C1" s="5"/>
      <c r="D1" s="5"/>
      <c r="E1" s="5"/>
      <c r="F1" s="5"/>
      <c r="G1" s="5"/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1.5" customHeight="1">
      <c r="A2" s="10" t="s">
        <v>144</v>
      </c>
      <c r="B2" s="10" t="s">
        <v>109</v>
      </c>
      <c r="C2" s="10" t="s">
        <v>10</v>
      </c>
      <c r="D2" s="10" t="s">
        <v>9</v>
      </c>
      <c r="E2" s="10" t="s">
        <v>11</v>
      </c>
      <c r="F2" s="10" t="s">
        <v>12</v>
      </c>
      <c r="G2" s="10" t="s">
        <v>14</v>
      </c>
      <c r="H2" s="10" t="s">
        <v>145</v>
      </c>
      <c r="I2" s="10" t="s">
        <v>146</v>
      </c>
      <c r="J2" s="10" t="s">
        <v>147</v>
      </c>
      <c r="K2" s="10" t="s">
        <v>148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4" t="s">
        <v>149</v>
      </c>
      <c r="B3" s="17">
        <v>46174.0</v>
      </c>
      <c r="C3" s="14" t="s">
        <v>21</v>
      </c>
      <c r="D3" s="14" t="s">
        <v>22</v>
      </c>
      <c r="E3" s="14" t="str">
        <f>VLOOKUP(C3,SalaryTracker[[#ALL],[Company ID]:[Company Name]],3,0)</f>
        <v>Micky Services Pvt Ltd</v>
      </c>
      <c r="F3" s="14" t="str">
        <f>vlookup(D3,SalaryTracker[[#ALL],[Tender ID]:[Tender Name]],3,0)</f>
        <v>Hospital Housekeeping</v>
      </c>
      <c r="G3" s="14" t="s">
        <v>27</v>
      </c>
      <c r="H3" s="18">
        <v>50000.0</v>
      </c>
      <c r="I3" s="18">
        <v>30000.0</v>
      </c>
      <c r="J3" s="18">
        <v>10000.0</v>
      </c>
      <c r="K3" s="18">
        <f t="shared" ref="K3:K5" si="1">H3-I3-J3</f>
        <v>10000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4" t="s">
        <v>150</v>
      </c>
      <c r="B4" s="17">
        <v>46178.0</v>
      </c>
      <c r="C4" s="14" t="s">
        <v>34</v>
      </c>
      <c r="D4" s="14" t="s">
        <v>44</v>
      </c>
      <c r="E4" s="14" t="str">
        <f>VLOOKUP(C4,SalaryTracker[[#ALL],[Company ID]:[Company Name]],3,0)</f>
        <v>ABC Facility Solutions</v>
      </c>
      <c r="F4" s="14" t="str">
        <f>vlookup(D4,SalaryTracker[[#ALL],[Tender ID]:[Tender Name]],3,0)</f>
        <v>Campus Security</v>
      </c>
      <c r="G4" s="14" t="s">
        <v>46</v>
      </c>
      <c r="H4" s="18">
        <v>40000.0</v>
      </c>
      <c r="I4" s="18">
        <v>22000.0</v>
      </c>
      <c r="J4" s="18">
        <v>8000.0</v>
      </c>
      <c r="K4" s="18">
        <f t="shared" si="1"/>
        <v>10000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4" t="s">
        <v>157</v>
      </c>
      <c r="B5" s="17">
        <v>46204.0</v>
      </c>
      <c r="C5" s="14" t="s">
        <v>40</v>
      </c>
      <c r="D5" s="14" t="s">
        <v>51</v>
      </c>
      <c r="E5" s="14" t="str">
        <f>VLOOKUP(C5,SalaryTracker[[#ALL],[Company ID]:[Company Name]],3,0)</f>
        <v>XYZ Infra Services</v>
      </c>
      <c r="F5" s="14" t="str">
        <f>vlookup(D5,SalaryTracker[[#ALL],[Tender ID]:[Tender Name]],3,0)</f>
        <v>Road Maintenance</v>
      </c>
      <c r="G5" s="14" t="s">
        <v>53</v>
      </c>
      <c r="H5" s="18">
        <v>35000.0</v>
      </c>
      <c r="I5" s="18">
        <v>20000.0</v>
      </c>
      <c r="J5" s="18">
        <v>5000.0</v>
      </c>
      <c r="K5" s="18">
        <f t="shared" si="1"/>
        <v>10000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</sheetData>
  <customSheetViews>
    <customSheetView guid="{49B8F137-9BBC-4796-8B62-195F7BCB9E27}" filter="1" showAutoFilter="1">
      <autoFilter ref="$A$2:$K$5"/>
    </customSheetView>
  </customSheetViews>
  <mergeCells count="1">
    <mergeCell ref="A1:J1"/>
  </mergeCell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4" width="14.0"/>
    <col customWidth="1" min="5" max="5" width="20.0"/>
    <col customWidth="1" min="6" max="6" width="20.57"/>
    <col customWidth="1" min="7" max="8" width="20.0"/>
    <col customWidth="1" min="9" max="10" width="16.0"/>
    <col customWidth="1" min="11" max="11" width="18.0"/>
    <col customWidth="1" min="12" max="28" width="8.71"/>
  </cols>
  <sheetData>
    <row r="1" ht="30.0" customHeight="1">
      <c r="A1" s="4" t="s">
        <v>151</v>
      </c>
      <c r="B1" s="5"/>
      <c r="C1" s="5"/>
      <c r="D1" s="5"/>
      <c r="E1" s="5"/>
      <c r="F1" s="5"/>
      <c r="G1" s="5"/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1.5" customHeight="1">
      <c r="A2" s="10" t="s">
        <v>152</v>
      </c>
      <c r="B2" s="10" t="s">
        <v>153</v>
      </c>
      <c r="C2" s="10" t="s">
        <v>10</v>
      </c>
      <c r="D2" s="10" t="s">
        <v>9</v>
      </c>
      <c r="E2" s="10" t="s">
        <v>11</v>
      </c>
      <c r="F2" s="10" t="s">
        <v>12</v>
      </c>
      <c r="G2" s="10" t="s">
        <v>154</v>
      </c>
      <c r="H2" s="10" t="s">
        <v>155</v>
      </c>
      <c r="I2" s="10" t="s">
        <v>156</v>
      </c>
      <c r="J2" s="10" t="s">
        <v>59</v>
      </c>
      <c r="K2" s="10" t="s">
        <v>158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4" t="s">
        <v>159</v>
      </c>
      <c r="B3" s="17">
        <v>46174.0</v>
      </c>
      <c r="C3" s="14" t="s">
        <v>21</v>
      </c>
      <c r="D3" s="14" t="s">
        <v>22</v>
      </c>
      <c r="E3" s="14" t="str">
        <f t="array" ref="E3">_xlfn.XLOOKUP(C3,'Expense Tracker'!$C$3:$C$10,'Expense Tracker'!$E$3:$E$10)</f>
        <v>Micky Services Pvt Ltd</v>
      </c>
      <c r="F3" s="14" t="str">
        <f t="array" ref="F3">_xlfn.xlookup(D3,'Expense Tracker'!$D$3:$D$10,'Expense Tracker'!$F$3:$F$10)</f>
        <v>Hospital Housekeeping</v>
      </c>
      <c r="G3" s="14" t="s">
        <v>41</v>
      </c>
      <c r="H3" s="73">
        <v>25000.0</v>
      </c>
      <c r="I3" s="73">
        <v>25000.0</v>
      </c>
      <c r="J3" s="73">
        <f t="shared" ref="J3:J7" si="1">H3-I3</f>
        <v>0</v>
      </c>
      <c r="K3" s="14" t="s">
        <v>160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4" t="s">
        <v>161</v>
      </c>
      <c r="B4" s="17">
        <v>46174.0</v>
      </c>
      <c r="C4" s="14" t="s">
        <v>21</v>
      </c>
      <c r="D4" s="14" t="s">
        <v>22</v>
      </c>
      <c r="E4" s="14" t="str">
        <f t="array" ref="E4">_xlfn.XLOOKUP(C4,'Expense Tracker'!$C$3:$C$10,'Expense Tracker'!$E$3:$E$10)</f>
        <v>Micky Services Pvt Ltd</v>
      </c>
      <c r="F4" s="14" t="str">
        <f t="array" ref="F4">_xlfn.xlookup(D4,'Expense Tracker'!$D$3:$D$10,'Expense Tracker'!$F$3:$F$10)</f>
        <v>Hospital Housekeeping</v>
      </c>
      <c r="G4" s="14" t="s">
        <v>49</v>
      </c>
      <c r="H4" s="73">
        <v>20000.0</v>
      </c>
      <c r="I4" s="73">
        <v>15000.0</v>
      </c>
      <c r="J4" s="73">
        <f t="shared" si="1"/>
        <v>5000</v>
      </c>
      <c r="K4" s="14" t="s">
        <v>160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4" t="s">
        <v>162</v>
      </c>
      <c r="B5" s="17">
        <v>46174.0</v>
      </c>
      <c r="C5" s="14" t="s">
        <v>21</v>
      </c>
      <c r="D5" s="14" t="s">
        <v>38</v>
      </c>
      <c r="E5" s="14" t="str">
        <f t="array" ref="E5">_xlfn.XLOOKUP(C5,'Expense Tracker'!$C$3:$C$10,'Expense Tracker'!$E$3:$E$10)</f>
        <v>Micky Services Pvt Ltd</v>
      </c>
      <c r="F5" s="14" t="str">
        <f t="array" ref="F5">_xlfn.xlookup(D5,'Expense Tracker'!$D$3:$D$10,'Expense Tracker'!$F$3:$F$10)</f>
        <v>Office Manpower</v>
      </c>
      <c r="G5" s="14" t="s">
        <v>163</v>
      </c>
      <c r="H5" s="73">
        <v>22000.0</v>
      </c>
      <c r="I5" s="73">
        <v>22000.0</v>
      </c>
      <c r="J5" s="73">
        <f t="shared" si="1"/>
        <v>0</v>
      </c>
      <c r="K5" s="14" t="s">
        <v>160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4" t="s">
        <v>164</v>
      </c>
      <c r="B6" s="17">
        <v>46174.0</v>
      </c>
      <c r="C6" s="14" t="s">
        <v>34</v>
      </c>
      <c r="D6" s="14" t="s">
        <v>44</v>
      </c>
      <c r="E6" s="14" t="str">
        <f t="array" ref="E6">_xlfn.XLOOKUP(C6,'Expense Tracker'!$C$3:$C$10,'Expense Tracker'!$E$3:$E$10)</f>
        <v>ABC Facility Solutions</v>
      </c>
      <c r="F6" s="14" t="str">
        <f t="array" ref="F6">_xlfn.xlookup(D6,'Expense Tracker'!$D$3:$D$10,'Expense Tracker'!$F$3:$F$10)</f>
        <v>Campus Security</v>
      </c>
      <c r="G6" s="14" t="s">
        <v>165</v>
      </c>
      <c r="H6" s="73">
        <v>24000.0</v>
      </c>
      <c r="I6" s="73">
        <v>24000.0</v>
      </c>
      <c r="J6" s="73">
        <f t="shared" si="1"/>
        <v>0</v>
      </c>
      <c r="K6" s="14" t="s">
        <v>160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4" t="s">
        <v>166</v>
      </c>
      <c r="B7" s="17">
        <v>46204.0</v>
      </c>
      <c r="C7" s="14" t="s">
        <v>40</v>
      </c>
      <c r="D7" s="14" t="s">
        <v>51</v>
      </c>
      <c r="E7" s="14" t="str">
        <f t="array" ref="E7">_xlfn.XLOOKUP(C7,'Expense Tracker'!$C$3:$C$10,'Expense Tracker'!$E$3:$E$10)</f>
        <v>XYZ Infra Services</v>
      </c>
      <c r="F7" s="14" t="str">
        <f t="array" ref="F7">_xlfn.xlookup(D7,'Expense Tracker'!$D$3:$D$10,'Expense Tracker'!$F$3:$F$10)</f>
        <v>Road Maintenance</v>
      </c>
      <c r="G7" s="15" t="s">
        <v>167</v>
      </c>
      <c r="H7" s="73">
        <v>26000.0</v>
      </c>
      <c r="I7" s="73">
        <v>20000.0</v>
      </c>
      <c r="J7" s="73">
        <f t="shared" si="1"/>
        <v>6000</v>
      </c>
      <c r="K7" s="14" t="s">
        <v>168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</sheetData>
  <customSheetViews>
    <customSheetView guid="{0700D70B-57F5-425E-856A-ED77EEE96030}" filter="1" showAutoFilter="1">
      <autoFilter ref="$A$2:$K$7"/>
    </customSheetView>
  </customSheetViews>
  <mergeCells count="1">
    <mergeCell ref="A1:J1"/>
  </mergeCells>
  <dataValidations>
    <dataValidation type="custom" allowBlank="1" showDropDown="1" sqref="H3:J7">
      <formula1>AND(ISNUMBER(H3),(NOT(OR(NOT(ISERROR(DATEVALUE(H3))), AND(ISNUMBER(H3), LEFT(CELL("format", H3))="D")))))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19.86"/>
    <col customWidth="1" min="5" max="5" width="20.57"/>
    <col customWidth="1" min="6" max="6" width="14.0"/>
    <col customWidth="1" min="7" max="7" width="18.0"/>
    <col customWidth="1" min="8" max="10" width="16.0"/>
    <col customWidth="1" min="11" max="11" width="14.0"/>
    <col customWidth="1" min="12" max="28" width="8.71"/>
  </cols>
  <sheetData>
    <row r="1" ht="30.0" customHeight="1">
      <c r="A1" s="4" t="s">
        <v>169</v>
      </c>
      <c r="B1" s="5"/>
      <c r="C1" s="5"/>
      <c r="D1" s="5"/>
      <c r="E1" s="5"/>
      <c r="F1" s="5"/>
      <c r="G1" s="5"/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1.5" customHeight="1">
      <c r="A2" s="10" t="s">
        <v>170</v>
      </c>
      <c r="B2" s="10" t="s">
        <v>10</v>
      </c>
      <c r="C2" s="10" t="s">
        <v>9</v>
      </c>
      <c r="D2" s="10" t="s">
        <v>11</v>
      </c>
      <c r="E2" s="10" t="s">
        <v>12</v>
      </c>
      <c r="F2" s="10" t="s">
        <v>171</v>
      </c>
      <c r="G2" s="10" t="s">
        <v>112</v>
      </c>
      <c r="H2" s="10" t="s">
        <v>172</v>
      </c>
      <c r="I2" s="10" t="s">
        <v>173</v>
      </c>
      <c r="J2" s="10" t="s">
        <v>174</v>
      </c>
      <c r="K2" s="10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4" t="s">
        <v>175</v>
      </c>
      <c r="B3" s="14" t="s">
        <v>21</v>
      </c>
      <c r="C3" s="14" t="s">
        <v>22</v>
      </c>
      <c r="D3" s="14" t="str">
        <f>VLOOKUP(B3,SupervisorTracker[[#ALL],[Company ID]:[Company Name]],3,0)</f>
        <v>Micky Services Pvt Ltd</v>
      </c>
      <c r="E3" s="14" t="str">
        <f>vlookup(C3,SupervisorTracker[[#ALL],[Tender ID]:[Tender Name]],3,0)</f>
        <v>Hospital Housekeeping</v>
      </c>
      <c r="F3" s="14" t="s">
        <v>176</v>
      </c>
      <c r="G3" s="18">
        <v>200000.0</v>
      </c>
      <c r="H3" s="14" t="s">
        <v>177</v>
      </c>
      <c r="I3" s="17">
        <v>46113.0</v>
      </c>
      <c r="J3" s="17">
        <v>46477.0</v>
      </c>
      <c r="K3" s="14" t="s">
        <v>31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4" t="s">
        <v>178</v>
      </c>
      <c r="B4" s="14" t="s">
        <v>34</v>
      </c>
      <c r="C4" s="14" t="s">
        <v>44</v>
      </c>
      <c r="D4" s="14" t="str">
        <f>VLOOKUP(B4,SupervisorTracker[[#ALL],[Company ID]:[Company Name]],3,0)</f>
        <v>ABC Facility Solutions</v>
      </c>
      <c r="E4" s="14" t="str">
        <f>vlookup(C4,SupervisorTracker[[#ALL],[Tender ID]:[Tender Name]],3,0)</f>
        <v>Campus Security</v>
      </c>
      <c r="F4" s="14" t="s">
        <v>179</v>
      </c>
      <c r="G4" s="18">
        <v>150000.0</v>
      </c>
      <c r="H4" s="14" t="s">
        <v>180</v>
      </c>
      <c r="I4" s="17">
        <v>46174.0</v>
      </c>
      <c r="J4" s="17">
        <v>46538.0</v>
      </c>
      <c r="K4" s="14" t="s">
        <v>31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4" t="s">
        <v>181</v>
      </c>
      <c r="B5" s="14" t="s">
        <v>40</v>
      </c>
      <c r="C5" s="14" t="s">
        <v>51</v>
      </c>
      <c r="D5" s="14" t="str">
        <f>VLOOKUP(B5,SupervisorTracker[[#ALL],[Company ID]:[Company Name]],3,0)</f>
        <v>XYZ Infra Services</v>
      </c>
      <c r="E5" s="14" t="str">
        <f>vlookup(C5,SupervisorTracker[[#ALL],[Tender ID]:[Tender Name]],3,0)</f>
        <v>Road Maintenance</v>
      </c>
      <c r="F5" s="14" t="s">
        <v>176</v>
      </c>
      <c r="G5" s="18">
        <v>100000.0</v>
      </c>
      <c r="H5" s="14" t="s">
        <v>182</v>
      </c>
      <c r="I5" s="17">
        <v>46127.0</v>
      </c>
      <c r="J5" s="17">
        <v>46491.0</v>
      </c>
      <c r="K5" s="14" t="s">
        <v>31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</sheetData>
  <customSheetViews>
    <customSheetView guid="{7C8A387F-5BFE-4F06-A5C3-B5D337FF525F}" filter="1" showAutoFilter="1">
      <autoFilter ref="$A$2:$K$5"/>
    </customSheetView>
  </customSheetViews>
  <mergeCells count="1">
    <mergeCell ref="A1:J1"/>
  </mergeCells>
  <dataValidations>
    <dataValidation type="list" allowBlank="1" sqref="F3:F498">
      <formula1>"FDR,BG"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4" width="14.0"/>
    <col customWidth="1" min="5" max="7" width="22.0"/>
    <col customWidth="1" min="8" max="8" width="18.0"/>
    <col customWidth="1" min="9" max="9" width="24.86"/>
    <col customWidth="1" min="10" max="27" width="8.71"/>
  </cols>
  <sheetData>
    <row r="1" ht="30.0" customHeight="1">
      <c r="A1" s="4" t="s">
        <v>183</v>
      </c>
      <c r="B1" s="5"/>
      <c r="C1" s="5"/>
      <c r="D1" s="5"/>
      <c r="E1" s="5"/>
      <c r="F1" s="5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31.5" customHeight="1">
      <c r="A2" s="10" t="s">
        <v>184</v>
      </c>
      <c r="B2" s="10" t="s">
        <v>109</v>
      </c>
      <c r="C2" s="10" t="s">
        <v>10</v>
      </c>
      <c r="D2" s="10" t="s">
        <v>9</v>
      </c>
      <c r="E2" s="10" t="s">
        <v>11</v>
      </c>
      <c r="F2" s="10" t="s">
        <v>12</v>
      </c>
      <c r="G2" s="10" t="s">
        <v>185</v>
      </c>
      <c r="H2" s="10" t="s">
        <v>112</v>
      </c>
      <c r="I2" s="12" t="s">
        <v>111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0.25" customHeight="1">
      <c r="A3" s="14" t="s">
        <v>186</v>
      </c>
      <c r="B3" s="17">
        <v>46174.0</v>
      </c>
      <c r="C3" s="14" t="s">
        <v>21</v>
      </c>
      <c r="D3" s="14" t="s">
        <v>22</v>
      </c>
      <c r="E3" s="14" t="str">
        <f t="array" ref="E3:E998">iferror(VLOOKUP(C3:C998,FDRBGTracker[[#ALL],[Company ID]:[Company Name]],3,0),"")</f>
        <v>Micky Services Pvt Ltd</v>
      </c>
      <c r="F3" s="14" t="str">
        <f t="array" ref="F3:F998">iferror(VLOOKUP(D3:D998,FDRBGTracker[[#ALL],[Tender ID]:[Tender Name]],3,0),"")</f>
        <v>Hospital Housekeeping</v>
      </c>
      <c r="G3" s="74" t="s">
        <v>187</v>
      </c>
      <c r="H3" s="18">
        <v>250000.0</v>
      </c>
      <c r="I3" s="75" t="s">
        <v>188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0.25" customHeight="1">
      <c r="A4" s="14" t="s">
        <v>189</v>
      </c>
      <c r="B4" s="17">
        <v>46178.0</v>
      </c>
      <c r="C4" s="14" t="s">
        <v>21</v>
      </c>
      <c r="D4" s="14" t="s">
        <v>22</v>
      </c>
      <c r="E4" s="14" t="s">
        <v>23</v>
      </c>
      <c r="F4" s="14" t="s">
        <v>25</v>
      </c>
      <c r="G4" s="74" t="s">
        <v>190</v>
      </c>
      <c r="H4" s="18">
        <v>300000.0</v>
      </c>
      <c r="I4" s="75" t="s">
        <v>191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0.25" customHeight="1">
      <c r="A5" s="14" t="s">
        <v>192</v>
      </c>
      <c r="B5" s="17">
        <v>46179.0</v>
      </c>
      <c r="C5" s="14" t="s">
        <v>21</v>
      </c>
      <c r="D5" s="14" t="s">
        <v>22</v>
      </c>
      <c r="E5" s="14" t="s">
        <v>23</v>
      </c>
      <c r="F5" s="14" t="s">
        <v>25</v>
      </c>
      <c r="G5" s="74" t="s">
        <v>193</v>
      </c>
      <c r="H5" s="18">
        <v>50000.0</v>
      </c>
      <c r="I5" s="75" t="s">
        <v>194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0.25" customHeight="1">
      <c r="A6" s="14" t="s">
        <v>195</v>
      </c>
      <c r="B6" s="17">
        <v>46188.0</v>
      </c>
      <c r="C6" s="14" t="s">
        <v>34</v>
      </c>
      <c r="D6" s="14" t="s">
        <v>44</v>
      </c>
      <c r="E6" s="14" t="s">
        <v>35</v>
      </c>
      <c r="F6" s="14" t="s">
        <v>45</v>
      </c>
      <c r="G6" s="74" t="s">
        <v>190</v>
      </c>
      <c r="H6" s="18">
        <v>200000.0</v>
      </c>
      <c r="I6" s="75" t="s">
        <v>196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0.25" customHeight="1">
      <c r="A7" s="14" t="s">
        <v>197</v>
      </c>
      <c r="B7" s="17">
        <v>46189.0</v>
      </c>
      <c r="C7" s="14" t="s">
        <v>34</v>
      </c>
      <c r="D7" s="14" t="s">
        <v>44</v>
      </c>
      <c r="E7" s="14" t="s">
        <v>35</v>
      </c>
      <c r="F7" s="14" t="s">
        <v>45</v>
      </c>
      <c r="G7" s="74" t="s">
        <v>193</v>
      </c>
      <c r="H7" s="18">
        <v>25000.0</v>
      </c>
      <c r="I7" s="75" t="s">
        <v>198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0.25" customHeight="1">
      <c r="A8" s="14" t="s">
        <v>199</v>
      </c>
      <c r="B8" s="17">
        <v>46204.0</v>
      </c>
      <c r="C8" s="14" t="s">
        <v>40</v>
      </c>
      <c r="D8" s="14" t="s">
        <v>51</v>
      </c>
      <c r="E8" s="14" t="s">
        <v>30</v>
      </c>
      <c r="F8" s="14" t="s">
        <v>52</v>
      </c>
      <c r="G8" s="74" t="s">
        <v>187</v>
      </c>
      <c r="H8" s="18">
        <v>150000.0</v>
      </c>
      <c r="I8" s="75" t="s">
        <v>188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0.25" customHeight="1">
      <c r="A9" s="14" t="s">
        <v>200</v>
      </c>
      <c r="B9" s="17">
        <v>46215.0</v>
      </c>
      <c r="C9" s="14" t="s">
        <v>40</v>
      </c>
      <c r="D9" s="14" t="s">
        <v>51</v>
      </c>
      <c r="E9" s="14" t="s">
        <v>30</v>
      </c>
      <c r="F9" s="14" t="s">
        <v>52</v>
      </c>
      <c r="G9" s="74" t="s">
        <v>190</v>
      </c>
      <c r="H9" s="18">
        <v>250000.0</v>
      </c>
      <c r="I9" s="75" t="s">
        <v>201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0.25" customHeight="1">
      <c r="A10" s="14" t="s">
        <v>202</v>
      </c>
      <c r="B10" s="17">
        <v>46216.0</v>
      </c>
      <c r="C10" s="14" t="s">
        <v>40</v>
      </c>
      <c r="D10" s="14" t="s">
        <v>51</v>
      </c>
      <c r="E10" s="14" t="s">
        <v>30</v>
      </c>
      <c r="F10" s="14" t="s">
        <v>52</v>
      </c>
      <c r="G10" s="74" t="s">
        <v>193</v>
      </c>
      <c r="H10" s="18">
        <v>40000.0</v>
      </c>
      <c r="I10" s="75" t="s">
        <v>203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0.25" customHeight="1">
      <c r="A11" s="7"/>
      <c r="B11" s="7"/>
      <c r="C11" s="7"/>
      <c r="D11" s="7"/>
      <c r="E11" s="7" t="s">
        <v>204</v>
      </c>
      <c r="F11" s="7" t="s">
        <v>204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 t="s">
        <v>204</v>
      </c>
      <c r="F12" s="7" t="s">
        <v>204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 t="s">
        <v>204</v>
      </c>
      <c r="F13" s="7" t="s">
        <v>204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 t="s">
        <v>204</v>
      </c>
      <c r="F14" s="7" t="s">
        <v>204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 t="s">
        <v>204</v>
      </c>
      <c r="F15" s="7" t="s">
        <v>204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 t="s">
        <v>204</v>
      </c>
      <c r="F16" s="7" t="s">
        <v>204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 t="s">
        <v>204</v>
      </c>
      <c r="F17" s="7" t="s">
        <v>204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 t="s">
        <v>204</v>
      </c>
      <c r="F18" s="7" t="s">
        <v>204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/>
      <c r="B19" s="7"/>
      <c r="C19" s="7"/>
      <c r="D19" s="7"/>
      <c r="E19" s="7" t="s">
        <v>204</v>
      </c>
      <c r="F19" s="7" t="s">
        <v>204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/>
      <c r="B20" s="7"/>
      <c r="C20" s="7"/>
      <c r="D20" s="7"/>
      <c r="E20" s="7" t="s">
        <v>204</v>
      </c>
      <c r="F20" s="7" t="s">
        <v>204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7"/>
      <c r="C21" s="7"/>
      <c r="D21" s="7"/>
      <c r="E21" s="7" t="s">
        <v>204</v>
      </c>
      <c r="F21" s="7" t="s">
        <v>204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7"/>
      <c r="C22" s="7"/>
      <c r="D22" s="7"/>
      <c r="E22" s="7" t="s">
        <v>204</v>
      </c>
      <c r="F22" s="7" t="s">
        <v>204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7"/>
      <c r="C23" s="7"/>
      <c r="D23" s="7"/>
      <c r="E23" s="7" t="s">
        <v>204</v>
      </c>
      <c r="F23" s="7" t="s">
        <v>204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7"/>
      <c r="C24" s="7"/>
      <c r="D24" s="7"/>
      <c r="E24" s="7" t="s">
        <v>204</v>
      </c>
      <c r="F24" s="7" t="s">
        <v>204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7"/>
      <c r="C25" s="7"/>
      <c r="D25" s="7"/>
      <c r="E25" s="7" t="s">
        <v>204</v>
      </c>
      <c r="F25" s="7" t="s">
        <v>204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 t="s">
        <v>204</v>
      </c>
      <c r="F26" s="7" t="s">
        <v>204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 t="s">
        <v>204</v>
      </c>
      <c r="F27" s="7" t="s">
        <v>204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 t="s">
        <v>204</v>
      </c>
      <c r="F28" s="7" t="s">
        <v>204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 t="s">
        <v>204</v>
      </c>
      <c r="F29" s="7" t="s">
        <v>204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 t="s">
        <v>204</v>
      </c>
      <c r="F30" s="7" t="s">
        <v>204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 t="s">
        <v>204</v>
      </c>
      <c r="F31" s="7" t="s">
        <v>204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 t="s">
        <v>204</v>
      </c>
      <c r="F32" s="7" t="s">
        <v>204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 t="s">
        <v>204</v>
      </c>
      <c r="F33" s="7" t="s">
        <v>204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 t="s">
        <v>204</v>
      </c>
      <c r="F34" s="7" t="s">
        <v>204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 t="s">
        <v>204</v>
      </c>
      <c r="F35" s="7" t="s">
        <v>204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 t="s">
        <v>204</v>
      </c>
      <c r="F36" s="7" t="s">
        <v>204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 t="s">
        <v>204</v>
      </c>
      <c r="F37" s="7" t="s">
        <v>204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 t="s">
        <v>204</v>
      </c>
      <c r="F38" s="7" t="s">
        <v>204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 t="s">
        <v>204</v>
      </c>
      <c r="F39" s="7" t="s">
        <v>204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 t="s">
        <v>204</v>
      </c>
      <c r="F40" s="7" t="s">
        <v>204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 t="s">
        <v>204</v>
      </c>
      <c r="F41" s="7" t="s">
        <v>204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 t="s">
        <v>204</v>
      </c>
      <c r="F42" s="7" t="s">
        <v>204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 t="s">
        <v>204</v>
      </c>
      <c r="F43" s="7" t="s">
        <v>204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 t="s">
        <v>204</v>
      </c>
      <c r="F44" s="7" t="s">
        <v>204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 t="s">
        <v>204</v>
      </c>
      <c r="F45" s="7" t="s">
        <v>204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 t="s">
        <v>204</v>
      </c>
      <c r="F46" s="7" t="s">
        <v>204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 t="s">
        <v>204</v>
      </c>
      <c r="F47" s="7" t="s">
        <v>204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 t="s">
        <v>204</v>
      </c>
      <c r="F48" s="7" t="s">
        <v>204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 t="s">
        <v>204</v>
      </c>
      <c r="F49" s="7" t="s">
        <v>204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 t="s">
        <v>204</v>
      </c>
      <c r="F50" s="7" t="s">
        <v>204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 t="s">
        <v>204</v>
      </c>
      <c r="F51" s="7" t="s">
        <v>204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 t="s">
        <v>204</v>
      </c>
      <c r="F52" s="7" t="s">
        <v>204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 t="s">
        <v>204</v>
      </c>
      <c r="F53" s="7" t="s">
        <v>204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 t="s">
        <v>204</v>
      </c>
      <c r="F54" s="7" t="s">
        <v>204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 t="s">
        <v>204</v>
      </c>
      <c r="F55" s="7" t="s">
        <v>204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 t="s">
        <v>204</v>
      </c>
      <c r="F56" s="7" t="s">
        <v>204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 t="s">
        <v>204</v>
      </c>
      <c r="F57" s="7" t="s">
        <v>204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 t="s">
        <v>204</v>
      </c>
      <c r="F58" s="7" t="s">
        <v>204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 t="s">
        <v>204</v>
      </c>
      <c r="F59" s="7" t="s">
        <v>204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 t="s">
        <v>204</v>
      </c>
      <c r="F60" s="7" t="s">
        <v>204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 t="s">
        <v>204</v>
      </c>
      <c r="F61" s="7" t="s">
        <v>204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 t="s">
        <v>204</v>
      </c>
      <c r="F62" s="7" t="s">
        <v>204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 t="s">
        <v>204</v>
      </c>
      <c r="F63" s="7" t="s">
        <v>204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 t="s">
        <v>204</v>
      </c>
      <c r="F64" s="7" t="s">
        <v>204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 t="s">
        <v>204</v>
      </c>
      <c r="F65" s="7" t="s">
        <v>204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 t="s">
        <v>204</v>
      </c>
      <c r="F66" s="7" t="s">
        <v>204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 t="s">
        <v>204</v>
      </c>
      <c r="F67" s="7" t="s">
        <v>204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 t="s">
        <v>204</v>
      </c>
      <c r="F68" s="7" t="s">
        <v>204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 t="s">
        <v>204</v>
      </c>
      <c r="F69" s="7" t="s">
        <v>204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 t="s">
        <v>204</v>
      </c>
      <c r="F70" s="7" t="s">
        <v>204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 t="s">
        <v>204</v>
      </c>
      <c r="F71" s="7" t="s">
        <v>204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 t="s">
        <v>204</v>
      </c>
      <c r="F72" s="7" t="s">
        <v>204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 t="s">
        <v>204</v>
      </c>
      <c r="F73" s="7" t="s">
        <v>204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 t="s">
        <v>204</v>
      </c>
      <c r="F74" s="7" t="s">
        <v>204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 t="s">
        <v>204</v>
      </c>
      <c r="F75" s="7" t="s">
        <v>204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 t="s">
        <v>204</v>
      </c>
      <c r="F76" s="7" t="s">
        <v>204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 t="s">
        <v>204</v>
      </c>
      <c r="F77" s="7" t="s">
        <v>204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 t="s">
        <v>204</v>
      </c>
      <c r="F78" s="7" t="s">
        <v>204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 t="s">
        <v>204</v>
      </c>
      <c r="F79" s="7" t="s">
        <v>204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 t="s">
        <v>204</v>
      </c>
      <c r="F80" s="7" t="s">
        <v>204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 t="s">
        <v>204</v>
      </c>
      <c r="F81" s="7" t="s">
        <v>204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 t="s">
        <v>204</v>
      </c>
      <c r="F82" s="7" t="s">
        <v>204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 t="s">
        <v>204</v>
      </c>
      <c r="F83" s="7" t="s">
        <v>204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 t="s">
        <v>204</v>
      </c>
      <c r="F84" s="7" t="s">
        <v>204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 t="s">
        <v>204</v>
      </c>
      <c r="F85" s="7" t="s">
        <v>204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 t="s">
        <v>204</v>
      </c>
      <c r="F86" s="7" t="s">
        <v>204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 t="s">
        <v>204</v>
      </c>
      <c r="F87" s="7" t="s">
        <v>204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 t="s">
        <v>204</v>
      </c>
      <c r="F88" s="7" t="s">
        <v>204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 t="s">
        <v>204</v>
      </c>
      <c r="F89" s="7" t="s">
        <v>204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 t="s">
        <v>204</v>
      </c>
      <c r="F90" s="7" t="s">
        <v>204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 t="s">
        <v>204</v>
      </c>
      <c r="F91" s="7" t="s">
        <v>204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 t="s">
        <v>204</v>
      </c>
      <c r="F92" s="7" t="s">
        <v>204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 t="s">
        <v>204</v>
      </c>
      <c r="F93" s="7" t="s">
        <v>204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 t="s">
        <v>204</v>
      </c>
      <c r="F94" s="7" t="s">
        <v>204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 t="s">
        <v>204</v>
      </c>
      <c r="F95" s="7" t="s">
        <v>204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 t="s">
        <v>204</v>
      </c>
      <c r="F96" s="7" t="s">
        <v>204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 t="s">
        <v>204</v>
      </c>
      <c r="F97" s="7" t="s">
        <v>204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 t="s">
        <v>204</v>
      </c>
      <c r="F98" s="7" t="s">
        <v>204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 t="s">
        <v>204</v>
      </c>
      <c r="F99" s="7" t="s">
        <v>204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 t="s">
        <v>204</v>
      </c>
      <c r="F100" s="7" t="s">
        <v>204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 t="s">
        <v>204</v>
      </c>
      <c r="F101" s="7" t="s">
        <v>204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 t="s">
        <v>204</v>
      </c>
      <c r="F102" s="7" t="s">
        <v>204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 t="s">
        <v>204</v>
      </c>
      <c r="F103" s="7" t="s">
        <v>204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 t="s">
        <v>204</v>
      </c>
      <c r="F104" s="7" t="s">
        <v>204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 t="s">
        <v>204</v>
      </c>
      <c r="F105" s="7" t="s">
        <v>204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 t="s">
        <v>204</v>
      </c>
      <c r="F106" s="7" t="s">
        <v>204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 t="s">
        <v>204</v>
      </c>
      <c r="F107" s="7" t="s">
        <v>204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 t="s">
        <v>204</v>
      </c>
      <c r="F108" s="7" t="s">
        <v>204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 t="s">
        <v>204</v>
      </c>
      <c r="F109" s="7" t="s">
        <v>204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 t="s">
        <v>204</v>
      </c>
      <c r="F110" s="7" t="s">
        <v>204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 t="s">
        <v>204</v>
      </c>
      <c r="F111" s="7" t="s">
        <v>204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 t="s">
        <v>204</v>
      </c>
      <c r="F112" s="7" t="s">
        <v>204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 t="s">
        <v>204</v>
      </c>
      <c r="F113" s="7" t="s">
        <v>204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 t="s">
        <v>204</v>
      </c>
      <c r="F114" s="7" t="s">
        <v>204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 t="s">
        <v>204</v>
      </c>
      <c r="F115" s="7" t="s">
        <v>204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 t="s">
        <v>204</v>
      </c>
      <c r="F116" s="7" t="s">
        <v>204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 t="s">
        <v>204</v>
      </c>
      <c r="F117" s="7" t="s">
        <v>204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 t="s">
        <v>204</v>
      </c>
      <c r="F118" s="7" t="s">
        <v>204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 t="s">
        <v>204</v>
      </c>
      <c r="F119" s="7" t="s">
        <v>204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 t="s">
        <v>204</v>
      </c>
      <c r="F120" s="7" t="s">
        <v>204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 t="s">
        <v>204</v>
      </c>
      <c r="F121" s="7" t="s">
        <v>204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 t="s">
        <v>204</v>
      </c>
      <c r="F122" s="7" t="s">
        <v>204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 t="s">
        <v>204</v>
      </c>
      <c r="F123" s="7" t="s">
        <v>204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 t="s">
        <v>204</v>
      </c>
      <c r="F124" s="7" t="s">
        <v>204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 t="s">
        <v>204</v>
      </c>
      <c r="F125" s="7" t="s">
        <v>204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 t="s">
        <v>204</v>
      </c>
      <c r="F126" s="7" t="s">
        <v>204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 t="s">
        <v>204</v>
      </c>
      <c r="F127" s="7" t="s">
        <v>204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 t="s">
        <v>204</v>
      </c>
      <c r="F128" s="7" t="s">
        <v>204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 t="s">
        <v>204</v>
      </c>
      <c r="F129" s="7" t="s">
        <v>204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 t="s">
        <v>204</v>
      </c>
      <c r="F130" s="7" t="s">
        <v>204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 t="s">
        <v>204</v>
      </c>
      <c r="F131" s="7" t="s">
        <v>204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 t="s">
        <v>204</v>
      </c>
      <c r="F132" s="7" t="s">
        <v>204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 t="s">
        <v>204</v>
      </c>
      <c r="F133" s="7" t="s">
        <v>204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 t="s">
        <v>204</v>
      </c>
      <c r="F134" s="7" t="s">
        <v>204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 t="s">
        <v>204</v>
      </c>
      <c r="F135" s="7" t="s">
        <v>204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 t="s">
        <v>204</v>
      </c>
      <c r="F136" s="7" t="s">
        <v>204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 t="s">
        <v>204</v>
      </c>
      <c r="F137" s="7" t="s">
        <v>204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 t="s">
        <v>204</v>
      </c>
      <c r="F138" s="7" t="s">
        <v>204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 t="s">
        <v>204</v>
      </c>
      <c r="F139" s="7" t="s">
        <v>204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 t="s">
        <v>204</v>
      </c>
      <c r="F140" s="7" t="s">
        <v>204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 t="s">
        <v>204</v>
      </c>
      <c r="F141" s="7" t="s">
        <v>204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 t="s">
        <v>204</v>
      </c>
      <c r="F142" s="7" t="s">
        <v>204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 t="s">
        <v>204</v>
      </c>
      <c r="F143" s="7" t="s">
        <v>204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 t="s">
        <v>204</v>
      </c>
      <c r="F144" s="7" t="s">
        <v>204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 t="s">
        <v>204</v>
      </c>
      <c r="F145" s="7" t="s">
        <v>204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 t="s">
        <v>204</v>
      </c>
      <c r="F146" s="7" t="s">
        <v>204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 t="s">
        <v>204</v>
      </c>
      <c r="F147" s="7" t="s">
        <v>204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 t="s">
        <v>204</v>
      </c>
      <c r="F148" s="7" t="s">
        <v>204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 t="s">
        <v>204</v>
      </c>
      <c r="F149" s="7" t="s">
        <v>204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 t="s">
        <v>204</v>
      </c>
      <c r="F150" s="7" t="s">
        <v>204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 t="s">
        <v>204</v>
      </c>
      <c r="F151" s="7" t="s">
        <v>204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 t="s">
        <v>204</v>
      </c>
      <c r="F152" s="7" t="s">
        <v>204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 t="s">
        <v>204</v>
      </c>
      <c r="F153" s="7" t="s">
        <v>204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 t="s">
        <v>204</v>
      </c>
      <c r="F154" s="7" t="s">
        <v>204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 t="s">
        <v>204</v>
      </c>
      <c r="F155" s="7" t="s">
        <v>204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 t="s">
        <v>204</v>
      </c>
      <c r="F156" s="7" t="s">
        <v>204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 t="s">
        <v>204</v>
      </c>
      <c r="F157" s="7" t="s">
        <v>204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 t="s">
        <v>204</v>
      </c>
      <c r="F158" s="7" t="s">
        <v>204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 t="s">
        <v>204</v>
      </c>
      <c r="F159" s="7" t="s">
        <v>204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 t="s">
        <v>204</v>
      </c>
      <c r="F160" s="7" t="s">
        <v>204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 t="s">
        <v>204</v>
      </c>
      <c r="F161" s="7" t="s">
        <v>204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 t="s">
        <v>204</v>
      </c>
      <c r="F162" s="7" t="s">
        <v>204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 t="s">
        <v>204</v>
      </c>
      <c r="F163" s="7" t="s">
        <v>204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 t="s">
        <v>204</v>
      </c>
      <c r="F164" s="7" t="s">
        <v>204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 t="s">
        <v>204</v>
      </c>
      <c r="F165" s="7" t="s">
        <v>204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 t="s">
        <v>204</v>
      </c>
      <c r="F166" s="7" t="s">
        <v>204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 t="s">
        <v>204</v>
      </c>
      <c r="F167" s="7" t="s">
        <v>204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 t="s">
        <v>204</v>
      </c>
      <c r="F168" s="7" t="s">
        <v>204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 t="s">
        <v>204</v>
      </c>
      <c r="F169" s="7" t="s">
        <v>204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 t="s">
        <v>204</v>
      </c>
      <c r="F170" s="7" t="s">
        <v>204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 t="s">
        <v>204</v>
      </c>
      <c r="F171" s="7" t="s">
        <v>204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 t="s">
        <v>204</v>
      </c>
      <c r="F172" s="7" t="s">
        <v>204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 t="s">
        <v>204</v>
      </c>
      <c r="F173" s="7" t="s">
        <v>204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 t="s">
        <v>204</v>
      </c>
      <c r="F174" s="7" t="s">
        <v>204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 t="s">
        <v>204</v>
      </c>
      <c r="F175" s="7" t="s">
        <v>204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 t="s">
        <v>204</v>
      </c>
      <c r="F176" s="7" t="s">
        <v>204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 t="s">
        <v>204</v>
      </c>
      <c r="F177" s="7" t="s">
        <v>204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 t="s">
        <v>204</v>
      </c>
      <c r="F178" s="7" t="s">
        <v>204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 t="s">
        <v>204</v>
      </c>
      <c r="F179" s="7" t="s">
        <v>204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 t="s">
        <v>204</v>
      </c>
      <c r="F180" s="7" t="s">
        <v>204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 t="s">
        <v>204</v>
      </c>
      <c r="F181" s="7" t="s">
        <v>204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 t="s">
        <v>204</v>
      </c>
      <c r="F182" s="7" t="s">
        <v>204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 t="s">
        <v>204</v>
      </c>
      <c r="F183" s="7" t="s">
        <v>204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 t="s">
        <v>204</v>
      </c>
      <c r="F184" s="7" t="s">
        <v>204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 t="s">
        <v>204</v>
      </c>
      <c r="F185" s="7" t="s">
        <v>204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 t="s">
        <v>204</v>
      </c>
      <c r="F186" s="7" t="s">
        <v>204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 t="s">
        <v>204</v>
      </c>
      <c r="F187" s="7" t="s">
        <v>204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 t="s">
        <v>204</v>
      </c>
      <c r="F188" s="7" t="s">
        <v>204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 t="s">
        <v>204</v>
      </c>
      <c r="F189" s="7" t="s">
        <v>204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 t="s">
        <v>204</v>
      </c>
      <c r="F190" s="7" t="s">
        <v>204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 t="s">
        <v>204</v>
      </c>
      <c r="F191" s="7" t="s">
        <v>204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 t="s">
        <v>204</v>
      </c>
      <c r="F192" s="7" t="s">
        <v>204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 t="s">
        <v>204</v>
      </c>
      <c r="F193" s="7" t="s">
        <v>204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 t="s">
        <v>204</v>
      </c>
      <c r="F194" s="7" t="s">
        <v>204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 t="s">
        <v>204</v>
      </c>
      <c r="F195" s="7" t="s">
        <v>204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 t="s">
        <v>204</v>
      </c>
      <c r="F196" s="7" t="s">
        <v>204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 t="s">
        <v>204</v>
      </c>
      <c r="F197" s="7" t="s">
        <v>204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 t="s">
        <v>204</v>
      </c>
      <c r="F198" s="7" t="s">
        <v>204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 t="s">
        <v>204</v>
      </c>
      <c r="F199" s="7" t="s">
        <v>204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 t="s">
        <v>204</v>
      </c>
      <c r="F200" s="7" t="s">
        <v>204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 t="s">
        <v>204</v>
      </c>
      <c r="F201" s="7" t="s">
        <v>204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 t="s">
        <v>204</v>
      </c>
      <c r="F202" s="7" t="s">
        <v>204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 t="s">
        <v>204</v>
      </c>
      <c r="F203" s="7" t="s">
        <v>204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 t="s">
        <v>204</v>
      </c>
      <c r="F204" s="7" t="s">
        <v>204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 t="s">
        <v>204</v>
      </c>
      <c r="F205" s="7" t="s">
        <v>204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 t="s">
        <v>204</v>
      </c>
      <c r="F206" s="7" t="s">
        <v>204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 t="s">
        <v>204</v>
      </c>
      <c r="F207" s="7" t="s">
        <v>204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 t="s">
        <v>204</v>
      </c>
      <c r="F208" s="7" t="s">
        <v>204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 t="s">
        <v>204</v>
      </c>
      <c r="F209" s="7" t="s">
        <v>204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 t="s">
        <v>204</v>
      </c>
      <c r="F210" s="7" t="s">
        <v>204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 t="s">
        <v>204</v>
      </c>
      <c r="F211" s="7" t="s">
        <v>204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 t="s">
        <v>204</v>
      </c>
      <c r="F212" s="7" t="s">
        <v>204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 t="s">
        <v>204</v>
      </c>
      <c r="F213" s="7" t="s">
        <v>204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 t="s">
        <v>204</v>
      </c>
      <c r="F214" s="7" t="s">
        <v>204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 t="s">
        <v>204</v>
      </c>
      <c r="F215" s="7" t="s">
        <v>204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 t="s">
        <v>204</v>
      </c>
      <c r="F216" s="7" t="s">
        <v>204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 t="s">
        <v>204</v>
      </c>
      <c r="F217" s="7" t="s">
        <v>204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 t="s">
        <v>204</v>
      </c>
      <c r="F218" s="7" t="s">
        <v>204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 t="s">
        <v>204</v>
      </c>
      <c r="F219" s="7" t="s">
        <v>204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 t="s">
        <v>204</v>
      </c>
      <c r="F220" s="7" t="s">
        <v>204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 t="s">
        <v>204</v>
      </c>
      <c r="F221" s="7" t="s">
        <v>204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 t="s">
        <v>204</v>
      </c>
      <c r="F222" s="7" t="s">
        <v>204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 t="s">
        <v>204</v>
      </c>
      <c r="F223" s="7" t="s">
        <v>204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 t="s">
        <v>204</v>
      </c>
      <c r="F224" s="7" t="s">
        <v>204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 t="s">
        <v>204</v>
      </c>
      <c r="F225" s="7" t="s">
        <v>204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 t="s">
        <v>204</v>
      </c>
      <c r="F226" s="7" t="s">
        <v>204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 t="s">
        <v>204</v>
      </c>
      <c r="F227" s="7" t="s">
        <v>204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 t="s">
        <v>204</v>
      </c>
      <c r="F228" s="7" t="s">
        <v>204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 t="s">
        <v>204</v>
      </c>
      <c r="F229" s="7" t="s">
        <v>204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 t="s">
        <v>204</v>
      </c>
      <c r="F230" s="7" t="s">
        <v>204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 t="s">
        <v>204</v>
      </c>
      <c r="F231" s="7" t="s">
        <v>204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 t="s">
        <v>204</v>
      </c>
      <c r="F232" s="7" t="s">
        <v>204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 t="s">
        <v>204</v>
      </c>
      <c r="F233" s="7" t="s">
        <v>204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 t="s">
        <v>204</v>
      </c>
      <c r="F234" s="7" t="s">
        <v>204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 t="s">
        <v>204</v>
      </c>
      <c r="F235" s="7" t="s">
        <v>204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 t="s">
        <v>204</v>
      </c>
      <c r="F236" s="7" t="s">
        <v>204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 t="s">
        <v>204</v>
      </c>
      <c r="F237" s="7" t="s">
        <v>204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 t="s">
        <v>204</v>
      </c>
      <c r="F238" s="7" t="s">
        <v>204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 t="s">
        <v>204</v>
      </c>
      <c r="F239" s="7" t="s">
        <v>204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 t="s">
        <v>204</v>
      </c>
      <c r="F240" s="7" t="s">
        <v>204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 t="s">
        <v>204</v>
      </c>
      <c r="F241" s="7" t="s">
        <v>204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 t="s">
        <v>204</v>
      </c>
      <c r="F242" s="7" t="s">
        <v>204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 t="s">
        <v>204</v>
      </c>
      <c r="F243" s="7" t="s">
        <v>204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 t="s">
        <v>204</v>
      </c>
      <c r="F244" s="7" t="s">
        <v>204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 t="s">
        <v>204</v>
      </c>
      <c r="F245" s="7" t="s">
        <v>204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 t="s">
        <v>204</v>
      </c>
      <c r="F246" s="7" t="s">
        <v>204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 t="s">
        <v>204</v>
      </c>
      <c r="F247" s="7" t="s">
        <v>204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 t="s">
        <v>204</v>
      </c>
      <c r="F248" s="7" t="s">
        <v>204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 t="s">
        <v>204</v>
      </c>
      <c r="F249" s="7" t="s">
        <v>204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 t="s">
        <v>204</v>
      </c>
      <c r="F250" s="7" t="s">
        <v>204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 t="s">
        <v>204</v>
      </c>
      <c r="F251" s="7" t="s">
        <v>204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 t="s">
        <v>204</v>
      </c>
      <c r="F252" s="7" t="s">
        <v>204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 t="s">
        <v>204</v>
      </c>
      <c r="F253" s="7" t="s">
        <v>204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 t="s">
        <v>204</v>
      </c>
      <c r="F254" s="7" t="s">
        <v>204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 t="s">
        <v>204</v>
      </c>
      <c r="F255" s="7" t="s">
        <v>204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 t="s">
        <v>204</v>
      </c>
      <c r="F256" s="7" t="s">
        <v>204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 t="s">
        <v>204</v>
      </c>
      <c r="F257" s="7" t="s">
        <v>204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 t="s">
        <v>204</v>
      </c>
      <c r="F258" s="7" t="s">
        <v>204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 t="s">
        <v>204</v>
      </c>
      <c r="F259" s="7" t="s">
        <v>204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 t="s">
        <v>204</v>
      </c>
      <c r="F260" s="7" t="s">
        <v>204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 t="s">
        <v>204</v>
      </c>
      <c r="F261" s="7" t="s">
        <v>204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 t="s">
        <v>204</v>
      </c>
      <c r="F262" s="7" t="s">
        <v>204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 t="s">
        <v>204</v>
      </c>
      <c r="F263" s="7" t="s">
        <v>204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 t="s">
        <v>204</v>
      </c>
      <c r="F264" s="7" t="s">
        <v>204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 t="s">
        <v>204</v>
      </c>
      <c r="F265" s="7" t="s">
        <v>204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 t="s">
        <v>204</v>
      </c>
      <c r="F266" s="7" t="s">
        <v>204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 t="s">
        <v>204</v>
      </c>
      <c r="F267" s="7" t="s">
        <v>204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 t="s">
        <v>204</v>
      </c>
      <c r="F268" s="7" t="s">
        <v>204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 t="s">
        <v>204</v>
      </c>
      <c r="F269" s="7" t="s">
        <v>204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 t="s">
        <v>204</v>
      </c>
      <c r="F270" s="7" t="s">
        <v>204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 t="s">
        <v>204</v>
      </c>
      <c r="F271" s="7" t="s">
        <v>204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 t="s">
        <v>204</v>
      </c>
      <c r="F272" s="7" t="s">
        <v>204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 t="s">
        <v>204</v>
      </c>
      <c r="F273" s="7" t="s">
        <v>204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 t="s">
        <v>204</v>
      </c>
      <c r="F274" s="7" t="s">
        <v>204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 t="s">
        <v>204</v>
      </c>
      <c r="F275" s="7" t="s">
        <v>204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 t="s">
        <v>204</v>
      </c>
      <c r="F276" s="7" t="s">
        <v>204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 t="s">
        <v>204</v>
      </c>
      <c r="F277" s="7" t="s">
        <v>204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 t="s">
        <v>204</v>
      </c>
      <c r="F278" s="7" t="s">
        <v>204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 t="s">
        <v>204</v>
      </c>
      <c r="F279" s="7" t="s">
        <v>204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 t="s">
        <v>204</v>
      </c>
      <c r="F280" s="7" t="s">
        <v>204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 t="s">
        <v>204</v>
      </c>
      <c r="F281" s="7" t="s">
        <v>204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 t="s">
        <v>204</v>
      </c>
      <c r="F282" s="7" t="s">
        <v>204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 t="s">
        <v>204</v>
      </c>
      <c r="F283" s="7" t="s">
        <v>204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 t="s">
        <v>204</v>
      </c>
      <c r="F284" s="7" t="s">
        <v>204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 t="s">
        <v>204</v>
      </c>
      <c r="F285" s="7" t="s">
        <v>204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 t="s">
        <v>204</v>
      </c>
      <c r="F286" s="7" t="s">
        <v>204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 t="s">
        <v>204</v>
      </c>
      <c r="F287" s="7" t="s">
        <v>204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 t="s">
        <v>204</v>
      </c>
      <c r="F288" s="7" t="s">
        <v>204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 t="s">
        <v>204</v>
      </c>
      <c r="F289" s="7" t="s">
        <v>204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 t="s">
        <v>204</v>
      </c>
      <c r="F290" s="7" t="s">
        <v>204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 t="s">
        <v>204</v>
      </c>
      <c r="F291" s="7" t="s">
        <v>204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 t="s">
        <v>204</v>
      </c>
      <c r="F292" s="7" t="s">
        <v>204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 t="s">
        <v>204</v>
      </c>
      <c r="F293" s="7" t="s">
        <v>204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 t="s">
        <v>204</v>
      </c>
      <c r="F294" s="7" t="s">
        <v>204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 t="s">
        <v>204</v>
      </c>
      <c r="F295" s="7" t="s">
        <v>204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 t="s">
        <v>204</v>
      </c>
      <c r="F296" s="7" t="s">
        <v>204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 t="s">
        <v>204</v>
      </c>
      <c r="F297" s="7" t="s">
        <v>204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 t="s">
        <v>204</v>
      </c>
      <c r="F298" s="7" t="s">
        <v>204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 t="s">
        <v>204</v>
      </c>
      <c r="F299" s="7" t="s">
        <v>204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 t="s">
        <v>204</v>
      </c>
      <c r="F300" s="7" t="s">
        <v>204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 t="s">
        <v>204</v>
      </c>
      <c r="F301" s="7" t="s">
        <v>204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 t="s">
        <v>204</v>
      </c>
      <c r="F302" s="7" t="s">
        <v>204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 t="s">
        <v>204</v>
      </c>
      <c r="F303" s="7" t="s">
        <v>204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 t="s">
        <v>204</v>
      </c>
      <c r="F304" s="7" t="s">
        <v>204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 t="s">
        <v>204</v>
      </c>
      <c r="F305" s="7" t="s">
        <v>204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 t="s">
        <v>204</v>
      </c>
      <c r="F306" s="7" t="s">
        <v>204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 t="s">
        <v>204</v>
      </c>
      <c r="F307" s="7" t="s">
        <v>204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 t="s">
        <v>204</v>
      </c>
      <c r="F308" s="7" t="s">
        <v>204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 t="s">
        <v>204</v>
      </c>
      <c r="F309" s="7" t="s">
        <v>204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 t="s">
        <v>204</v>
      </c>
      <c r="F310" s="7" t="s">
        <v>204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 t="s">
        <v>204</v>
      </c>
      <c r="F311" s="7" t="s">
        <v>204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 t="s">
        <v>204</v>
      </c>
      <c r="F312" s="7" t="s">
        <v>204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 t="s">
        <v>204</v>
      </c>
      <c r="F313" s="7" t="s">
        <v>204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 t="s">
        <v>204</v>
      </c>
      <c r="F314" s="7" t="s">
        <v>204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 t="s">
        <v>204</v>
      </c>
      <c r="F315" s="7" t="s">
        <v>204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 t="s">
        <v>204</v>
      </c>
      <c r="F316" s="7" t="s">
        <v>204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 t="s">
        <v>204</v>
      </c>
      <c r="F317" s="7" t="s">
        <v>204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 t="s">
        <v>204</v>
      </c>
      <c r="F318" s="7" t="s">
        <v>204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 t="s">
        <v>204</v>
      </c>
      <c r="F319" s="7" t="s">
        <v>204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 t="s">
        <v>204</v>
      </c>
      <c r="F320" s="7" t="s">
        <v>204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 t="s">
        <v>204</v>
      </c>
      <c r="F321" s="7" t="s">
        <v>204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 t="s">
        <v>204</v>
      </c>
      <c r="F322" s="7" t="s">
        <v>204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 t="s">
        <v>204</v>
      </c>
      <c r="F323" s="7" t="s">
        <v>204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 t="s">
        <v>204</v>
      </c>
      <c r="F324" s="7" t="s">
        <v>204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 t="s">
        <v>204</v>
      </c>
      <c r="F325" s="7" t="s">
        <v>204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 t="s">
        <v>204</v>
      </c>
      <c r="F326" s="7" t="s">
        <v>204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 t="s">
        <v>204</v>
      </c>
      <c r="F327" s="7" t="s">
        <v>204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 t="s">
        <v>204</v>
      </c>
      <c r="F328" s="7" t="s">
        <v>204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 t="s">
        <v>204</v>
      </c>
      <c r="F329" s="7" t="s">
        <v>204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 t="s">
        <v>204</v>
      </c>
      <c r="F330" s="7" t="s">
        <v>204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 t="s">
        <v>204</v>
      </c>
      <c r="F331" s="7" t="s">
        <v>204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 t="s">
        <v>204</v>
      </c>
      <c r="F332" s="7" t="s">
        <v>204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 t="s">
        <v>204</v>
      </c>
      <c r="F333" s="7" t="s">
        <v>204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 t="s">
        <v>204</v>
      </c>
      <c r="F334" s="7" t="s">
        <v>204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 t="s">
        <v>204</v>
      </c>
      <c r="F335" s="7" t="s">
        <v>204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 t="s">
        <v>204</v>
      </c>
      <c r="F336" s="7" t="s">
        <v>204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 t="s">
        <v>204</v>
      </c>
      <c r="F337" s="7" t="s">
        <v>204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 t="s">
        <v>204</v>
      </c>
      <c r="F338" s="7" t="s">
        <v>204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 t="s">
        <v>204</v>
      </c>
      <c r="F339" s="7" t="s">
        <v>204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 t="s">
        <v>204</v>
      </c>
      <c r="F340" s="7" t="s">
        <v>204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 t="s">
        <v>204</v>
      </c>
      <c r="F341" s="7" t="s">
        <v>204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 t="s">
        <v>204</v>
      </c>
      <c r="F342" s="7" t="s">
        <v>204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 t="s">
        <v>204</v>
      </c>
      <c r="F343" s="7" t="s">
        <v>204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 t="s">
        <v>204</v>
      </c>
      <c r="F344" s="7" t="s">
        <v>204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 t="s">
        <v>204</v>
      </c>
      <c r="F345" s="7" t="s">
        <v>204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 t="s">
        <v>204</v>
      </c>
      <c r="F346" s="7" t="s">
        <v>204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 t="s">
        <v>204</v>
      </c>
      <c r="F347" s="7" t="s">
        <v>204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 t="s">
        <v>204</v>
      </c>
      <c r="F348" s="7" t="s">
        <v>204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 t="s">
        <v>204</v>
      </c>
      <c r="F349" s="7" t="s">
        <v>204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 t="s">
        <v>204</v>
      </c>
      <c r="F350" s="7" t="s">
        <v>204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 t="s">
        <v>204</v>
      </c>
      <c r="F351" s="7" t="s">
        <v>204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 t="s">
        <v>204</v>
      </c>
      <c r="F352" s="7" t="s">
        <v>204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 t="s">
        <v>204</v>
      </c>
      <c r="F353" s="7" t="s">
        <v>204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 t="s">
        <v>204</v>
      </c>
      <c r="F354" s="7" t="s">
        <v>204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 t="s">
        <v>204</v>
      </c>
      <c r="F355" s="7" t="s">
        <v>204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 t="s">
        <v>204</v>
      </c>
      <c r="F356" s="7" t="s">
        <v>204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 t="s">
        <v>204</v>
      </c>
      <c r="F357" s="7" t="s">
        <v>204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 t="s">
        <v>204</v>
      </c>
      <c r="F358" s="7" t="s">
        <v>204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 t="s">
        <v>204</v>
      </c>
      <c r="F359" s="7" t="s">
        <v>204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 t="s">
        <v>204</v>
      </c>
      <c r="F360" s="7" t="s">
        <v>204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 t="s">
        <v>204</v>
      </c>
      <c r="F361" s="7" t="s">
        <v>204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 t="s">
        <v>204</v>
      </c>
      <c r="F362" s="7" t="s">
        <v>204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 t="s">
        <v>204</v>
      </c>
      <c r="F363" s="7" t="s">
        <v>204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 t="s">
        <v>204</v>
      </c>
      <c r="F364" s="7" t="s">
        <v>204</v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 t="s">
        <v>204</v>
      </c>
      <c r="F365" s="7" t="s">
        <v>204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 t="s">
        <v>204</v>
      </c>
      <c r="F366" s="7" t="s">
        <v>204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 t="s">
        <v>204</v>
      </c>
      <c r="F367" s="7" t="s">
        <v>204</v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 t="s">
        <v>204</v>
      </c>
      <c r="F368" s="7" t="s">
        <v>204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 t="s">
        <v>204</v>
      </c>
      <c r="F369" s="7" t="s">
        <v>204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 t="s">
        <v>204</v>
      </c>
      <c r="F370" s="7" t="s">
        <v>204</v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 t="s">
        <v>204</v>
      </c>
      <c r="F371" s="7" t="s">
        <v>204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 t="s">
        <v>204</v>
      </c>
      <c r="F372" s="7" t="s">
        <v>204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 t="s">
        <v>204</v>
      </c>
      <c r="F373" s="7" t="s">
        <v>204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 t="s">
        <v>204</v>
      </c>
      <c r="F374" s="7" t="s">
        <v>204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 t="s">
        <v>204</v>
      </c>
      <c r="F375" s="7" t="s">
        <v>204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 t="s">
        <v>204</v>
      </c>
      <c r="F376" s="7" t="s">
        <v>204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 t="s">
        <v>204</v>
      </c>
      <c r="F377" s="7" t="s">
        <v>204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 t="s">
        <v>204</v>
      </c>
      <c r="F378" s="7" t="s">
        <v>204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 t="s">
        <v>204</v>
      </c>
      <c r="F379" s="7" t="s">
        <v>204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 t="s">
        <v>204</v>
      </c>
      <c r="F380" s="7" t="s">
        <v>204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 t="s">
        <v>204</v>
      </c>
      <c r="F381" s="7" t="s">
        <v>204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 t="s">
        <v>204</v>
      </c>
      <c r="F382" s="7" t="s">
        <v>204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 t="s">
        <v>204</v>
      </c>
      <c r="F383" s="7" t="s">
        <v>204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 t="s">
        <v>204</v>
      </c>
      <c r="F384" s="7" t="s">
        <v>204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 t="s">
        <v>204</v>
      </c>
      <c r="F385" s="7" t="s">
        <v>204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 t="s">
        <v>204</v>
      </c>
      <c r="F386" s="7" t="s">
        <v>204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 t="s">
        <v>204</v>
      </c>
      <c r="F387" s="7" t="s">
        <v>204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 t="s">
        <v>204</v>
      </c>
      <c r="F388" s="7" t="s">
        <v>204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 t="s">
        <v>204</v>
      </c>
      <c r="F389" s="7" t="s">
        <v>204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 t="s">
        <v>204</v>
      </c>
      <c r="F390" s="7" t="s">
        <v>204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 t="s">
        <v>204</v>
      </c>
      <c r="F391" s="7" t="s">
        <v>204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 t="s">
        <v>204</v>
      </c>
      <c r="F392" s="7" t="s">
        <v>204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 t="s">
        <v>204</v>
      </c>
      <c r="F393" s="7" t="s">
        <v>204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 t="s">
        <v>204</v>
      </c>
      <c r="F394" s="7" t="s">
        <v>204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 t="s">
        <v>204</v>
      </c>
      <c r="F395" s="7" t="s">
        <v>204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 t="s">
        <v>204</v>
      </c>
      <c r="F396" s="7" t="s">
        <v>204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 t="s">
        <v>204</v>
      </c>
      <c r="F397" s="7" t="s">
        <v>204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 t="s">
        <v>204</v>
      </c>
      <c r="F398" s="7" t="s">
        <v>204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 t="s">
        <v>204</v>
      </c>
      <c r="F399" s="7" t="s">
        <v>204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 t="s">
        <v>204</v>
      </c>
      <c r="F400" s="7" t="s">
        <v>204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 t="s">
        <v>204</v>
      </c>
      <c r="F401" s="7" t="s">
        <v>204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 t="s">
        <v>204</v>
      </c>
      <c r="F402" s="7" t="s">
        <v>204</v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 t="s">
        <v>204</v>
      </c>
      <c r="F403" s="7" t="s">
        <v>204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 t="s">
        <v>204</v>
      </c>
      <c r="F404" s="7" t="s">
        <v>204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 t="s">
        <v>204</v>
      </c>
      <c r="F405" s="7" t="s">
        <v>204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 t="s">
        <v>204</v>
      </c>
      <c r="F406" s="7" t="s">
        <v>204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 t="s">
        <v>204</v>
      </c>
      <c r="F407" s="7" t="s">
        <v>204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 t="s">
        <v>204</v>
      </c>
      <c r="F408" s="7" t="s">
        <v>204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 t="s">
        <v>204</v>
      </c>
      <c r="F409" s="7" t="s">
        <v>204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 t="s">
        <v>204</v>
      </c>
      <c r="F410" s="7" t="s">
        <v>204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 t="s">
        <v>204</v>
      </c>
      <c r="F411" s="7" t="s">
        <v>204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 t="s">
        <v>204</v>
      </c>
      <c r="F412" s="7" t="s">
        <v>204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 t="s">
        <v>204</v>
      </c>
      <c r="F413" s="7" t="s">
        <v>204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 t="s">
        <v>204</v>
      </c>
      <c r="F414" s="7" t="s">
        <v>204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 t="s">
        <v>204</v>
      </c>
      <c r="F415" s="7" t="s">
        <v>204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 t="s">
        <v>204</v>
      </c>
      <c r="F416" s="7" t="s">
        <v>204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 t="s">
        <v>204</v>
      </c>
      <c r="F417" s="7" t="s">
        <v>204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 t="s">
        <v>204</v>
      </c>
      <c r="F418" s="7" t="s">
        <v>204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 t="s">
        <v>204</v>
      </c>
      <c r="F419" s="7" t="s">
        <v>204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 t="s">
        <v>204</v>
      </c>
      <c r="F420" s="7" t="s">
        <v>204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 t="s">
        <v>204</v>
      </c>
      <c r="F421" s="7" t="s">
        <v>204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 t="s">
        <v>204</v>
      </c>
      <c r="F422" s="7" t="s">
        <v>204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 t="s">
        <v>204</v>
      </c>
      <c r="F423" s="7" t="s">
        <v>204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 t="s">
        <v>204</v>
      </c>
      <c r="F424" s="7" t="s">
        <v>204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 t="s">
        <v>204</v>
      </c>
      <c r="F425" s="7" t="s">
        <v>204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 t="s">
        <v>204</v>
      </c>
      <c r="F426" s="7" t="s">
        <v>204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 t="s">
        <v>204</v>
      </c>
      <c r="F427" s="7" t="s">
        <v>204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 t="s">
        <v>204</v>
      </c>
      <c r="F428" s="7" t="s">
        <v>204</v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 t="s">
        <v>204</v>
      </c>
      <c r="F429" s="7" t="s">
        <v>204</v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 t="s">
        <v>204</v>
      </c>
      <c r="F430" s="7" t="s">
        <v>204</v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 t="s">
        <v>204</v>
      </c>
      <c r="F431" s="7" t="s">
        <v>204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 t="s">
        <v>204</v>
      </c>
      <c r="F432" s="7" t="s">
        <v>204</v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 t="s">
        <v>204</v>
      </c>
      <c r="F433" s="7" t="s">
        <v>204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 t="s">
        <v>204</v>
      </c>
      <c r="F434" s="7" t="s">
        <v>204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 t="s">
        <v>204</v>
      </c>
      <c r="F435" s="7" t="s">
        <v>204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 t="s">
        <v>204</v>
      </c>
      <c r="F436" s="7" t="s">
        <v>204</v>
      </c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 t="s">
        <v>204</v>
      </c>
      <c r="F437" s="7" t="s">
        <v>204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 t="s">
        <v>204</v>
      </c>
      <c r="F438" s="7" t="s">
        <v>204</v>
      </c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 t="s">
        <v>204</v>
      </c>
      <c r="F439" s="7" t="s">
        <v>204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 t="s">
        <v>204</v>
      </c>
      <c r="F440" s="7" t="s">
        <v>204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 t="s">
        <v>204</v>
      </c>
      <c r="F441" s="7" t="s">
        <v>204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 t="s">
        <v>204</v>
      </c>
      <c r="F442" s="7" t="s">
        <v>204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 t="s">
        <v>204</v>
      </c>
      <c r="F443" s="7" t="s">
        <v>204</v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 t="s">
        <v>204</v>
      </c>
      <c r="F444" s="7" t="s">
        <v>204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 t="s">
        <v>204</v>
      </c>
      <c r="F445" s="7" t="s">
        <v>204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 t="s">
        <v>204</v>
      </c>
      <c r="F446" s="7" t="s">
        <v>204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 t="s">
        <v>204</v>
      </c>
      <c r="F447" s="7" t="s">
        <v>204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 t="s">
        <v>204</v>
      </c>
      <c r="F448" s="7" t="s">
        <v>204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 t="s">
        <v>204</v>
      </c>
      <c r="F449" s="7" t="s">
        <v>204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 t="s">
        <v>204</v>
      </c>
      <c r="F450" s="7" t="s">
        <v>204</v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 t="s">
        <v>204</v>
      </c>
      <c r="F451" s="7" t="s">
        <v>204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 t="s">
        <v>204</v>
      </c>
      <c r="F452" s="7" t="s">
        <v>204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 t="s">
        <v>204</v>
      </c>
      <c r="F453" s="7" t="s">
        <v>204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 t="s">
        <v>204</v>
      </c>
      <c r="F454" s="7" t="s">
        <v>204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 t="s">
        <v>204</v>
      </c>
      <c r="F455" s="7" t="s">
        <v>204</v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 t="s">
        <v>204</v>
      </c>
      <c r="F456" s="7" t="s">
        <v>204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 t="s">
        <v>204</v>
      </c>
      <c r="F457" s="7" t="s">
        <v>204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 t="s">
        <v>204</v>
      </c>
      <c r="F458" s="7" t="s">
        <v>204</v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 t="s">
        <v>204</v>
      </c>
      <c r="F459" s="7" t="s">
        <v>204</v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 t="s">
        <v>204</v>
      </c>
      <c r="F460" s="7" t="s">
        <v>204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 t="s">
        <v>204</v>
      </c>
      <c r="F461" s="7" t="s">
        <v>204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 t="s">
        <v>204</v>
      </c>
      <c r="F462" s="7" t="s">
        <v>204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 t="s">
        <v>204</v>
      </c>
      <c r="F463" s="7" t="s">
        <v>204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 t="s">
        <v>204</v>
      </c>
      <c r="F464" s="7" t="s">
        <v>204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 t="s">
        <v>204</v>
      </c>
      <c r="F465" s="7" t="s">
        <v>204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 t="s">
        <v>204</v>
      </c>
      <c r="F466" s="7" t="s">
        <v>204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 t="s">
        <v>204</v>
      </c>
      <c r="F467" s="7" t="s">
        <v>204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 t="s">
        <v>204</v>
      </c>
      <c r="F468" s="7" t="s">
        <v>204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 t="s">
        <v>204</v>
      </c>
      <c r="F469" s="7" t="s">
        <v>204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 t="s">
        <v>204</v>
      </c>
      <c r="F470" s="7" t="s">
        <v>204</v>
      </c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 t="s">
        <v>204</v>
      </c>
      <c r="F471" s="7" t="s">
        <v>204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 t="s">
        <v>204</v>
      </c>
      <c r="F472" s="7" t="s">
        <v>204</v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 t="s">
        <v>204</v>
      </c>
      <c r="F473" s="7" t="s">
        <v>204</v>
      </c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 t="s">
        <v>204</v>
      </c>
      <c r="F474" s="7" t="s">
        <v>204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 t="s">
        <v>204</v>
      </c>
      <c r="F475" s="7" t="s">
        <v>204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 t="s">
        <v>204</v>
      </c>
      <c r="F476" s="7" t="s">
        <v>204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 t="s">
        <v>204</v>
      </c>
      <c r="F477" s="7" t="s">
        <v>204</v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 t="s">
        <v>204</v>
      </c>
      <c r="F478" s="7" t="s">
        <v>204</v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 t="s">
        <v>204</v>
      </c>
      <c r="F479" s="7" t="s">
        <v>204</v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 t="s">
        <v>204</v>
      </c>
      <c r="F480" s="7" t="s">
        <v>204</v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 t="s">
        <v>204</v>
      </c>
      <c r="F481" s="7" t="s">
        <v>204</v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 t="s">
        <v>204</v>
      </c>
      <c r="F482" s="7" t="s">
        <v>204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 t="s">
        <v>204</v>
      </c>
      <c r="F483" s="7" t="s">
        <v>204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 t="s">
        <v>204</v>
      </c>
      <c r="F484" s="7" t="s">
        <v>204</v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 t="s">
        <v>204</v>
      </c>
      <c r="F485" s="7" t="s">
        <v>204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 t="s">
        <v>204</v>
      </c>
      <c r="F486" s="7" t="s">
        <v>204</v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 t="s">
        <v>204</v>
      </c>
      <c r="F487" s="7" t="s">
        <v>204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 t="s">
        <v>204</v>
      </c>
      <c r="F488" s="7" t="s">
        <v>204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 t="s">
        <v>204</v>
      </c>
      <c r="F489" s="7" t="s">
        <v>204</v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 t="s">
        <v>204</v>
      </c>
      <c r="F490" s="7" t="s">
        <v>204</v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 t="s">
        <v>204</v>
      </c>
      <c r="F491" s="7" t="s">
        <v>204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 t="s">
        <v>204</v>
      </c>
      <c r="F492" s="7" t="s">
        <v>204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 t="s">
        <v>204</v>
      </c>
      <c r="F493" s="7" t="s">
        <v>204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 t="s">
        <v>204</v>
      </c>
      <c r="F494" s="7" t="s">
        <v>204</v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 t="s">
        <v>204</v>
      </c>
      <c r="F495" s="7" t="s">
        <v>204</v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 t="s">
        <v>204</v>
      </c>
      <c r="F496" s="7" t="s">
        <v>204</v>
      </c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 t="s">
        <v>204</v>
      </c>
      <c r="F497" s="7" t="s">
        <v>204</v>
      </c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 t="s">
        <v>204</v>
      </c>
      <c r="F498" s="7" t="s">
        <v>204</v>
      </c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 t="s">
        <v>204</v>
      </c>
      <c r="F499" s="7" t="s">
        <v>204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 t="s">
        <v>204</v>
      </c>
      <c r="F500" s="7" t="s">
        <v>204</v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 t="s">
        <v>204</v>
      </c>
      <c r="F501" s="7" t="s">
        <v>204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 t="s">
        <v>204</v>
      </c>
      <c r="F502" s="7" t="s">
        <v>204</v>
      </c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 t="s">
        <v>204</v>
      </c>
      <c r="F503" s="7" t="s">
        <v>204</v>
      </c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 t="s">
        <v>204</v>
      </c>
      <c r="F504" s="7" t="s">
        <v>204</v>
      </c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 t="s">
        <v>204</v>
      </c>
      <c r="F505" s="7" t="s">
        <v>204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 t="s">
        <v>204</v>
      </c>
      <c r="F506" s="7" t="s">
        <v>204</v>
      </c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 t="s">
        <v>204</v>
      </c>
      <c r="F507" s="7" t="s">
        <v>204</v>
      </c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 t="s">
        <v>204</v>
      </c>
      <c r="F508" s="7" t="s">
        <v>204</v>
      </c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 t="s">
        <v>204</v>
      </c>
      <c r="F509" s="7" t="s">
        <v>204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 t="s">
        <v>204</v>
      </c>
      <c r="F510" s="7" t="s">
        <v>204</v>
      </c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 t="s">
        <v>204</v>
      </c>
      <c r="F511" s="7" t="s">
        <v>204</v>
      </c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 t="s">
        <v>204</v>
      </c>
      <c r="F512" s="7" t="s">
        <v>204</v>
      </c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 t="s">
        <v>204</v>
      </c>
      <c r="F513" s="7" t="s">
        <v>204</v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 t="s">
        <v>204</v>
      </c>
      <c r="F514" s="7" t="s">
        <v>204</v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 t="s">
        <v>204</v>
      </c>
      <c r="F515" s="7" t="s">
        <v>204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 t="s">
        <v>204</v>
      </c>
      <c r="F516" s="7" t="s">
        <v>204</v>
      </c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 t="s">
        <v>204</v>
      </c>
      <c r="F517" s="7" t="s">
        <v>204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 t="s">
        <v>204</v>
      </c>
      <c r="F518" s="7" t="s">
        <v>204</v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 t="s">
        <v>204</v>
      </c>
      <c r="F519" s="7" t="s">
        <v>204</v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 t="s">
        <v>204</v>
      </c>
      <c r="F520" s="7" t="s">
        <v>204</v>
      </c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 t="s">
        <v>204</v>
      </c>
      <c r="F521" s="7" t="s">
        <v>204</v>
      </c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 t="s">
        <v>204</v>
      </c>
      <c r="F522" s="7" t="s">
        <v>204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 t="s">
        <v>204</v>
      </c>
      <c r="F523" s="7" t="s">
        <v>204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 t="s">
        <v>204</v>
      </c>
      <c r="F524" s="7" t="s">
        <v>204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 t="s">
        <v>204</v>
      </c>
      <c r="F525" s="7" t="s">
        <v>204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 t="s">
        <v>204</v>
      </c>
      <c r="F526" s="7" t="s">
        <v>204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 t="s">
        <v>204</v>
      </c>
      <c r="F527" s="7" t="s">
        <v>204</v>
      </c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 t="s">
        <v>204</v>
      </c>
      <c r="F528" s="7" t="s">
        <v>204</v>
      </c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 t="s">
        <v>204</v>
      </c>
      <c r="F529" s="7" t="s">
        <v>204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 t="s">
        <v>204</v>
      </c>
      <c r="F530" s="7" t="s">
        <v>204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 t="s">
        <v>204</v>
      </c>
      <c r="F531" s="7" t="s">
        <v>204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 t="s">
        <v>204</v>
      </c>
      <c r="F532" s="7" t="s">
        <v>204</v>
      </c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 t="s">
        <v>204</v>
      </c>
      <c r="F533" s="7" t="s">
        <v>204</v>
      </c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 t="s">
        <v>204</v>
      </c>
      <c r="F534" s="7" t="s">
        <v>204</v>
      </c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 t="s">
        <v>204</v>
      </c>
      <c r="F535" s="7" t="s">
        <v>204</v>
      </c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 t="s">
        <v>204</v>
      </c>
      <c r="F536" s="7" t="s">
        <v>204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 t="s">
        <v>204</v>
      </c>
      <c r="F537" s="7" t="s">
        <v>204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 t="s">
        <v>204</v>
      </c>
      <c r="F538" s="7" t="s">
        <v>204</v>
      </c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 t="s">
        <v>204</v>
      </c>
      <c r="F539" s="7" t="s">
        <v>204</v>
      </c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 t="s">
        <v>204</v>
      </c>
      <c r="F540" s="7" t="s">
        <v>204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 t="s">
        <v>204</v>
      </c>
      <c r="F541" s="7" t="s">
        <v>204</v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 t="s">
        <v>204</v>
      </c>
      <c r="F542" s="7" t="s">
        <v>204</v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 t="s">
        <v>204</v>
      </c>
      <c r="F543" s="7" t="s">
        <v>204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 t="s">
        <v>204</v>
      </c>
      <c r="F544" s="7" t="s">
        <v>204</v>
      </c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 t="s">
        <v>204</v>
      </c>
      <c r="F545" s="7" t="s">
        <v>204</v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 t="s">
        <v>204</v>
      </c>
      <c r="F546" s="7" t="s">
        <v>204</v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 t="s">
        <v>204</v>
      </c>
      <c r="F547" s="7" t="s">
        <v>204</v>
      </c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 t="s">
        <v>204</v>
      </c>
      <c r="F548" s="7" t="s">
        <v>204</v>
      </c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 t="s">
        <v>204</v>
      </c>
      <c r="F549" s="7" t="s">
        <v>204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 t="s">
        <v>204</v>
      </c>
      <c r="F550" s="7" t="s">
        <v>204</v>
      </c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 t="s">
        <v>204</v>
      </c>
      <c r="F551" s="7" t="s">
        <v>204</v>
      </c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 t="s">
        <v>204</v>
      </c>
      <c r="F552" s="7" t="s">
        <v>204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 t="s">
        <v>204</v>
      </c>
      <c r="F553" s="7" t="s">
        <v>204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 t="s">
        <v>204</v>
      </c>
      <c r="F554" s="7" t="s">
        <v>204</v>
      </c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 t="s">
        <v>204</v>
      </c>
      <c r="F555" s="7" t="s">
        <v>204</v>
      </c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 t="s">
        <v>204</v>
      </c>
      <c r="F556" s="7" t="s">
        <v>204</v>
      </c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 t="s">
        <v>204</v>
      </c>
      <c r="F557" s="7" t="s">
        <v>204</v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 t="s">
        <v>204</v>
      </c>
      <c r="F558" s="7" t="s">
        <v>204</v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 t="s">
        <v>204</v>
      </c>
      <c r="F559" s="7" t="s">
        <v>204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 t="s">
        <v>204</v>
      </c>
      <c r="F560" s="7" t="s">
        <v>204</v>
      </c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 t="s">
        <v>204</v>
      </c>
      <c r="F561" s="7" t="s">
        <v>204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 t="s">
        <v>204</v>
      </c>
      <c r="F562" s="7" t="s">
        <v>204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 t="s">
        <v>204</v>
      </c>
      <c r="F563" s="7" t="s">
        <v>204</v>
      </c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 t="s">
        <v>204</v>
      </c>
      <c r="F564" s="7" t="s">
        <v>204</v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 t="s">
        <v>204</v>
      </c>
      <c r="F565" s="7" t="s">
        <v>204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 t="s">
        <v>204</v>
      </c>
      <c r="F566" s="7" t="s">
        <v>204</v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 t="s">
        <v>204</v>
      </c>
      <c r="F567" s="7" t="s">
        <v>204</v>
      </c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 t="s">
        <v>204</v>
      </c>
      <c r="F568" s="7" t="s">
        <v>204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 t="s">
        <v>204</v>
      </c>
      <c r="F569" s="7" t="s">
        <v>204</v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 t="s">
        <v>204</v>
      </c>
      <c r="F570" s="7" t="s">
        <v>204</v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 t="s">
        <v>204</v>
      </c>
      <c r="F571" s="7" t="s">
        <v>204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 t="s">
        <v>204</v>
      </c>
      <c r="F572" s="7" t="s">
        <v>204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 t="s">
        <v>204</v>
      </c>
      <c r="F573" s="7" t="s">
        <v>204</v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 t="s">
        <v>204</v>
      </c>
      <c r="F574" s="7" t="s">
        <v>204</v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 t="s">
        <v>204</v>
      </c>
      <c r="F575" s="7" t="s">
        <v>204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 t="s">
        <v>204</v>
      </c>
      <c r="F576" s="7" t="s">
        <v>204</v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 t="s">
        <v>204</v>
      </c>
      <c r="F577" s="7" t="s">
        <v>204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 t="s">
        <v>204</v>
      </c>
      <c r="F578" s="7" t="s">
        <v>204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 t="s">
        <v>204</v>
      </c>
      <c r="F579" s="7" t="s">
        <v>204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 t="s">
        <v>204</v>
      </c>
      <c r="F580" s="7" t="s">
        <v>204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 t="s">
        <v>204</v>
      </c>
      <c r="F581" s="7" t="s">
        <v>204</v>
      </c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 t="s">
        <v>204</v>
      </c>
      <c r="F582" s="7" t="s">
        <v>204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 t="s">
        <v>204</v>
      </c>
      <c r="F583" s="7" t="s">
        <v>204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 t="s">
        <v>204</v>
      </c>
      <c r="F584" s="7" t="s">
        <v>204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 t="s">
        <v>204</v>
      </c>
      <c r="F585" s="7" t="s">
        <v>204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 t="s">
        <v>204</v>
      </c>
      <c r="F586" s="7" t="s">
        <v>204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 t="s">
        <v>204</v>
      </c>
      <c r="F587" s="7" t="s">
        <v>204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 t="s">
        <v>204</v>
      </c>
      <c r="F588" s="7" t="s">
        <v>204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 t="s">
        <v>204</v>
      </c>
      <c r="F589" s="7" t="s">
        <v>204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 t="s">
        <v>204</v>
      </c>
      <c r="F590" s="7" t="s">
        <v>204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 t="s">
        <v>204</v>
      </c>
      <c r="F591" s="7" t="s">
        <v>204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 t="s">
        <v>204</v>
      </c>
      <c r="F592" s="7" t="s">
        <v>204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 t="s">
        <v>204</v>
      </c>
      <c r="F593" s="7" t="s">
        <v>204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 t="s">
        <v>204</v>
      </c>
      <c r="F594" s="7" t="s">
        <v>204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 t="s">
        <v>204</v>
      </c>
      <c r="F595" s="7" t="s">
        <v>204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 t="s">
        <v>204</v>
      </c>
      <c r="F596" s="7" t="s">
        <v>204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 t="s">
        <v>204</v>
      </c>
      <c r="F597" s="7" t="s">
        <v>204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 t="s">
        <v>204</v>
      </c>
      <c r="F598" s="7" t="s">
        <v>204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 t="s">
        <v>204</v>
      </c>
      <c r="F599" s="7" t="s">
        <v>204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 t="s">
        <v>204</v>
      </c>
      <c r="F600" s="7" t="s">
        <v>204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 t="s">
        <v>204</v>
      </c>
      <c r="F601" s="7" t="s">
        <v>204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 t="s">
        <v>204</v>
      </c>
      <c r="F602" s="7" t="s">
        <v>204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 t="s">
        <v>204</v>
      </c>
      <c r="F603" s="7" t="s">
        <v>204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 t="s">
        <v>204</v>
      </c>
      <c r="F604" s="7" t="s">
        <v>204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 t="s">
        <v>204</v>
      </c>
      <c r="F605" s="7" t="s">
        <v>204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 t="s">
        <v>204</v>
      </c>
      <c r="F606" s="7" t="s">
        <v>204</v>
      </c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 t="s">
        <v>204</v>
      </c>
      <c r="F607" s="7" t="s">
        <v>204</v>
      </c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 t="s">
        <v>204</v>
      </c>
      <c r="F608" s="7" t="s">
        <v>204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 t="s">
        <v>204</v>
      </c>
      <c r="F609" s="7" t="s">
        <v>204</v>
      </c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 t="s">
        <v>204</v>
      </c>
      <c r="F610" s="7" t="s">
        <v>204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 t="s">
        <v>204</v>
      </c>
      <c r="F611" s="7" t="s">
        <v>204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 t="s">
        <v>204</v>
      </c>
      <c r="F612" s="7" t="s">
        <v>204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 t="s">
        <v>204</v>
      </c>
      <c r="F613" s="7" t="s">
        <v>204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 t="s">
        <v>204</v>
      </c>
      <c r="F614" s="7" t="s">
        <v>204</v>
      </c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 t="s">
        <v>204</v>
      </c>
      <c r="F615" s="7" t="s">
        <v>204</v>
      </c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 t="s">
        <v>204</v>
      </c>
      <c r="F616" s="7" t="s">
        <v>204</v>
      </c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 t="s">
        <v>204</v>
      </c>
      <c r="F617" s="7" t="s">
        <v>204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 t="s">
        <v>204</v>
      </c>
      <c r="F618" s="7" t="s">
        <v>204</v>
      </c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 t="s">
        <v>204</v>
      </c>
      <c r="F619" s="7" t="s">
        <v>204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 t="s">
        <v>204</v>
      </c>
      <c r="F620" s="7" t="s">
        <v>204</v>
      </c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 t="s">
        <v>204</v>
      </c>
      <c r="F621" s="7" t="s">
        <v>204</v>
      </c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 t="s">
        <v>204</v>
      </c>
      <c r="F622" s="7" t="s">
        <v>204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 t="s">
        <v>204</v>
      </c>
      <c r="F623" s="7" t="s">
        <v>204</v>
      </c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 t="s">
        <v>204</v>
      </c>
      <c r="F624" s="7" t="s">
        <v>204</v>
      </c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 t="s">
        <v>204</v>
      </c>
      <c r="F625" s="7" t="s">
        <v>204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 t="s">
        <v>204</v>
      </c>
      <c r="F626" s="7" t="s">
        <v>204</v>
      </c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 t="s">
        <v>204</v>
      </c>
      <c r="F627" s="7" t="s">
        <v>204</v>
      </c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 t="s">
        <v>204</v>
      </c>
      <c r="F628" s="7" t="s">
        <v>204</v>
      </c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 t="s">
        <v>204</v>
      </c>
      <c r="F629" s="7" t="s">
        <v>204</v>
      </c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 t="s">
        <v>204</v>
      </c>
      <c r="F630" s="7" t="s">
        <v>204</v>
      </c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 t="s">
        <v>204</v>
      </c>
      <c r="F631" s="7" t="s">
        <v>204</v>
      </c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 t="s">
        <v>204</v>
      </c>
      <c r="F632" s="7" t="s">
        <v>204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 t="s">
        <v>204</v>
      </c>
      <c r="F633" s="7" t="s">
        <v>204</v>
      </c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 t="s">
        <v>204</v>
      </c>
      <c r="F634" s="7" t="s">
        <v>204</v>
      </c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 t="s">
        <v>204</v>
      </c>
      <c r="F635" s="7" t="s">
        <v>204</v>
      </c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 t="s">
        <v>204</v>
      </c>
      <c r="F636" s="7" t="s">
        <v>204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 t="s">
        <v>204</v>
      </c>
      <c r="F637" s="7" t="s">
        <v>204</v>
      </c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 t="s">
        <v>204</v>
      </c>
      <c r="F638" s="7" t="s">
        <v>204</v>
      </c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 t="s">
        <v>204</v>
      </c>
      <c r="F639" s="7" t="s">
        <v>204</v>
      </c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 t="s">
        <v>204</v>
      </c>
      <c r="F640" s="7" t="s">
        <v>204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 t="s">
        <v>204</v>
      </c>
      <c r="F641" s="7" t="s">
        <v>204</v>
      </c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 t="s">
        <v>204</v>
      </c>
      <c r="F642" s="7" t="s">
        <v>204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 t="s">
        <v>204</v>
      </c>
      <c r="F643" s="7" t="s">
        <v>204</v>
      </c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 t="s">
        <v>204</v>
      </c>
      <c r="F644" s="7" t="s">
        <v>204</v>
      </c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 t="s">
        <v>204</v>
      </c>
      <c r="F645" s="7" t="s">
        <v>204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 t="s">
        <v>204</v>
      </c>
      <c r="F646" s="7" t="s">
        <v>204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 t="s">
        <v>204</v>
      </c>
      <c r="F647" s="7" t="s">
        <v>204</v>
      </c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 t="s">
        <v>204</v>
      </c>
      <c r="F648" s="7" t="s">
        <v>204</v>
      </c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 t="s">
        <v>204</v>
      </c>
      <c r="F649" s="7" t="s">
        <v>204</v>
      </c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 t="s">
        <v>204</v>
      </c>
      <c r="F650" s="7" t="s">
        <v>204</v>
      </c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 t="s">
        <v>204</v>
      </c>
      <c r="F651" s="7" t="s">
        <v>204</v>
      </c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 t="s">
        <v>204</v>
      </c>
      <c r="F652" s="7" t="s">
        <v>204</v>
      </c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 t="s">
        <v>204</v>
      </c>
      <c r="F653" s="7" t="s">
        <v>204</v>
      </c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 t="s">
        <v>204</v>
      </c>
      <c r="F654" s="7" t="s">
        <v>204</v>
      </c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 t="s">
        <v>204</v>
      </c>
      <c r="F655" s="7" t="s">
        <v>204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 t="s">
        <v>204</v>
      </c>
      <c r="F656" s="7" t="s">
        <v>204</v>
      </c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 t="s">
        <v>204</v>
      </c>
      <c r="F657" s="7" t="s">
        <v>204</v>
      </c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 t="s">
        <v>204</v>
      </c>
      <c r="F658" s="7" t="s">
        <v>204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 t="s">
        <v>204</v>
      </c>
      <c r="F659" s="7" t="s">
        <v>204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 t="s">
        <v>204</v>
      </c>
      <c r="F660" s="7" t="s">
        <v>204</v>
      </c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 t="s">
        <v>204</v>
      </c>
      <c r="F661" s="7" t="s">
        <v>204</v>
      </c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 t="s">
        <v>204</v>
      </c>
      <c r="F662" s="7" t="s">
        <v>204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 t="s">
        <v>204</v>
      </c>
      <c r="F663" s="7" t="s">
        <v>204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 t="s">
        <v>204</v>
      </c>
      <c r="F664" s="7" t="s">
        <v>204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 t="s">
        <v>204</v>
      </c>
      <c r="F665" s="7" t="s">
        <v>204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 t="s">
        <v>204</v>
      </c>
      <c r="F666" s="7" t="s">
        <v>204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 t="s">
        <v>204</v>
      </c>
      <c r="F667" s="7" t="s">
        <v>204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 t="s">
        <v>204</v>
      </c>
      <c r="F668" s="7" t="s">
        <v>204</v>
      </c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 t="s">
        <v>204</v>
      </c>
      <c r="F669" s="7" t="s">
        <v>204</v>
      </c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 t="s">
        <v>204</v>
      </c>
      <c r="F670" s="7" t="s">
        <v>204</v>
      </c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 t="s">
        <v>204</v>
      </c>
      <c r="F671" s="7" t="s">
        <v>204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 t="s">
        <v>204</v>
      </c>
      <c r="F672" s="7" t="s">
        <v>204</v>
      </c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 t="s">
        <v>204</v>
      </c>
      <c r="F673" s="7" t="s">
        <v>204</v>
      </c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 t="s">
        <v>204</v>
      </c>
      <c r="F674" s="7" t="s">
        <v>204</v>
      </c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 t="s">
        <v>204</v>
      </c>
      <c r="F675" s="7" t="s">
        <v>204</v>
      </c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 t="s">
        <v>204</v>
      </c>
      <c r="F676" s="7" t="s">
        <v>204</v>
      </c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 t="s">
        <v>204</v>
      </c>
      <c r="F677" s="7" t="s">
        <v>204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 t="s">
        <v>204</v>
      </c>
      <c r="F678" s="7" t="s">
        <v>204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 t="s">
        <v>204</v>
      </c>
      <c r="F679" s="7" t="s">
        <v>204</v>
      </c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 t="s">
        <v>204</v>
      </c>
      <c r="F680" s="7" t="s">
        <v>204</v>
      </c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 t="s">
        <v>204</v>
      </c>
      <c r="F681" s="7" t="s">
        <v>204</v>
      </c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 t="s">
        <v>204</v>
      </c>
      <c r="F682" s="7" t="s">
        <v>204</v>
      </c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 t="s">
        <v>204</v>
      </c>
      <c r="F683" s="7" t="s">
        <v>204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 t="s">
        <v>204</v>
      </c>
      <c r="F684" s="7" t="s">
        <v>204</v>
      </c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 t="s">
        <v>204</v>
      </c>
      <c r="F685" s="7" t="s">
        <v>204</v>
      </c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 t="s">
        <v>204</v>
      </c>
      <c r="F686" s="7" t="s">
        <v>204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 t="s">
        <v>204</v>
      </c>
      <c r="F687" s="7" t="s">
        <v>204</v>
      </c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 t="s">
        <v>204</v>
      </c>
      <c r="F688" s="7" t="s">
        <v>204</v>
      </c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 t="s">
        <v>204</v>
      </c>
      <c r="F689" s="7" t="s">
        <v>204</v>
      </c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 t="s">
        <v>204</v>
      </c>
      <c r="F690" s="7" t="s">
        <v>204</v>
      </c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 t="s">
        <v>204</v>
      </c>
      <c r="F691" s="7" t="s">
        <v>204</v>
      </c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 t="s">
        <v>204</v>
      </c>
      <c r="F692" s="7" t="s">
        <v>204</v>
      </c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 t="s">
        <v>204</v>
      </c>
      <c r="F693" s="7" t="s">
        <v>204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 t="s">
        <v>204</v>
      </c>
      <c r="F694" s="7" t="s">
        <v>204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 t="s">
        <v>204</v>
      </c>
      <c r="F695" s="7" t="s">
        <v>204</v>
      </c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 t="s">
        <v>204</v>
      </c>
      <c r="F696" s="7" t="s">
        <v>204</v>
      </c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 t="s">
        <v>204</v>
      </c>
      <c r="F697" s="7" t="s">
        <v>204</v>
      </c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 t="s">
        <v>204</v>
      </c>
      <c r="F698" s="7" t="s">
        <v>204</v>
      </c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 t="s">
        <v>204</v>
      </c>
      <c r="F699" s="7" t="s">
        <v>204</v>
      </c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 t="s">
        <v>204</v>
      </c>
      <c r="F700" s="7" t="s">
        <v>204</v>
      </c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 t="s">
        <v>204</v>
      </c>
      <c r="F701" s="7" t="s">
        <v>204</v>
      </c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 t="s">
        <v>204</v>
      </c>
      <c r="F702" s="7" t="s">
        <v>204</v>
      </c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 t="s">
        <v>204</v>
      </c>
      <c r="F703" s="7" t="s">
        <v>204</v>
      </c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 t="s">
        <v>204</v>
      </c>
      <c r="F704" s="7" t="s">
        <v>204</v>
      </c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 t="s">
        <v>204</v>
      </c>
      <c r="F705" s="7" t="s">
        <v>204</v>
      </c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 t="s">
        <v>204</v>
      </c>
      <c r="F706" s="7" t="s">
        <v>204</v>
      </c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 t="s">
        <v>204</v>
      </c>
      <c r="F707" s="7" t="s">
        <v>204</v>
      </c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 t="s">
        <v>204</v>
      </c>
      <c r="F708" s="7" t="s">
        <v>204</v>
      </c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 t="s">
        <v>204</v>
      </c>
      <c r="F709" s="7" t="s">
        <v>204</v>
      </c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 t="s">
        <v>204</v>
      </c>
      <c r="F710" s="7" t="s">
        <v>204</v>
      </c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 t="s">
        <v>204</v>
      </c>
      <c r="F711" s="7" t="s">
        <v>204</v>
      </c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 t="s">
        <v>204</v>
      </c>
      <c r="F712" s="7" t="s">
        <v>204</v>
      </c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 t="s">
        <v>204</v>
      </c>
      <c r="F713" s="7" t="s">
        <v>204</v>
      </c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 t="s">
        <v>204</v>
      </c>
      <c r="F714" s="7" t="s">
        <v>204</v>
      </c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 t="s">
        <v>204</v>
      </c>
      <c r="F715" s="7" t="s">
        <v>204</v>
      </c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 t="s">
        <v>204</v>
      </c>
      <c r="F716" s="7" t="s">
        <v>204</v>
      </c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 t="s">
        <v>204</v>
      </c>
      <c r="F717" s="7" t="s">
        <v>204</v>
      </c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 t="s">
        <v>204</v>
      </c>
      <c r="F718" s="7" t="s">
        <v>204</v>
      </c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 t="s">
        <v>204</v>
      </c>
      <c r="F719" s="7" t="s">
        <v>204</v>
      </c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 t="s">
        <v>204</v>
      </c>
      <c r="F720" s="7" t="s">
        <v>204</v>
      </c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 t="s">
        <v>204</v>
      </c>
      <c r="F721" s="7" t="s">
        <v>204</v>
      </c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 t="s">
        <v>204</v>
      </c>
      <c r="F722" s="7" t="s">
        <v>204</v>
      </c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 t="s">
        <v>204</v>
      </c>
      <c r="F723" s="7" t="s">
        <v>204</v>
      </c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 t="s">
        <v>204</v>
      </c>
      <c r="F724" s="7" t="s">
        <v>204</v>
      </c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 t="s">
        <v>204</v>
      </c>
      <c r="F725" s="7" t="s">
        <v>204</v>
      </c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 t="s">
        <v>204</v>
      </c>
      <c r="F726" s="7" t="s">
        <v>204</v>
      </c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 t="s">
        <v>204</v>
      </c>
      <c r="F727" s="7" t="s">
        <v>204</v>
      </c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 t="s">
        <v>204</v>
      </c>
      <c r="F728" s="7" t="s">
        <v>204</v>
      </c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 t="s">
        <v>204</v>
      </c>
      <c r="F729" s="7" t="s">
        <v>204</v>
      </c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 t="s">
        <v>204</v>
      </c>
      <c r="F730" s="7" t="s">
        <v>204</v>
      </c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 t="s">
        <v>204</v>
      </c>
      <c r="F731" s="7" t="s">
        <v>204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 t="s">
        <v>204</v>
      </c>
      <c r="F732" s="7" t="s">
        <v>204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 t="s">
        <v>204</v>
      </c>
      <c r="F733" s="7" t="s">
        <v>204</v>
      </c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 t="s">
        <v>204</v>
      </c>
      <c r="F734" s="7" t="s">
        <v>204</v>
      </c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 t="s">
        <v>204</v>
      </c>
      <c r="F735" s="7" t="s">
        <v>204</v>
      </c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 t="s">
        <v>204</v>
      </c>
      <c r="F736" s="7" t="s">
        <v>204</v>
      </c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 t="s">
        <v>204</v>
      </c>
      <c r="F737" s="7" t="s">
        <v>204</v>
      </c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 t="s">
        <v>204</v>
      </c>
      <c r="F738" s="7" t="s">
        <v>204</v>
      </c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 t="s">
        <v>204</v>
      </c>
      <c r="F739" s="7" t="s">
        <v>204</v>
      </c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 t="s">
        <v>204</v>
      </c>
      <c r="F740" s="7" t="s">
        <v>204</v>
      </c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 t="s">
        <v>204</v>
      </c>
      <c r="F741" s="7" t="s">
        <v>204</v>
      </c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 t="s">
        <v>204</v>
      </c>
      <c r="F742" s="7" t="s">
        <v>204</v>
      </c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 t="s">
        <v>204</v>
      </c>
      <c r="F743" s="7" t="s">
        <v>204</v>
      </c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 t="s">
        <v>204</v>
      </c>
      <c r="F744" s="7" t="s">
        <v>204</v>
      </c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 t="s">
        <v>204</v>
      </c>
      <c r="F745" s="7" t="s">
        <v>204</v>
      </c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 t="s">
        <v>204</v>
      </c>
      <c r="F746" s="7" t="s">
        <v>204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 t="s">
        <v>204</v>
      </c>
      <c r="F747" s="7" t="s">
        <v>204</v>
      </c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 t="s">
        <v>204</v>
      </c>
      <c r="F748" s="7" t="s">
        <v>204</v>
      </c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 t="s">
        <v>204</v>
      </c>
      <c r="F749" s="7" t="s">
        <v>204</v>
      </c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 t="s">
        <v>204</v>
      </c>
      <c r="F750" s="7" t="s">
        <v>204</v>
      </c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 t="s">
        <v>204</v>
      </c>
      <c r="F751" s="7" t="s">
        <v>204</v>
      </c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 t="s">
        <v>204</v>
      </c>
      <c r="F752" s="7" t="s">
        <v>204</v>
      </c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 t="s">
        <v>204</v>
      </c>
      <c r="F753" s="7" t="s">
        <v>204</v>
      </c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 t="s">
        <v>204</v>
      </c>
      <c r="F754" s="7" t="s">
        <v>204</v>
      </c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 t="s">
        <v>204</v>
      </c>
      <c r="F755" s="7" t="s">
        <v>204</v>
      </c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 t="s">
        <v>204</v>
      </c>
      <c r="F756" s="7" t="s">
        <v>204</v>
      </c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 t="s">
        <v>204</v>
      </c>
      <c r="F757" s="7" t="s">
        <v>204</v>
      </c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 t="s">
        <v>204</v>
      </c>
      <c r="F758" s="7" t="s">
        <v>204</v>
      </c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 t="s">
        <v>204</v>
      </c>
      <c r="F759" s="7" t="s">
        <v>204</v>
      </c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 t="s">
        <v>204</v>
      </c>
      <c r="F760" s="7" t="s">
        <v>204</v>
      </c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 t="s">
        <v>204</v>
      </c>
      <c r="F761" s="7" t="s">
        <v>204</v>
      </c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 t="s">
        <v>204</v>
      </c>
      <c r="F762" s="7" t="s">
        <v>204</v>
      </c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 t="s">
        <v>204</v>
      </c>
      <c r="F763" s="7" t="s">
        <v>204</v>
      </c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 t="s">
        <v>204</v>
      </c>
      <c r="F764" s="7" t="s">
        <v>204</v>
      </c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 t="s">
        <v>204</v>
      </c>
      <c r="F765" s="7" t="s">
        <v>204</v>
      </c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 t="s">
        <v>204</v>
      </c>
      <c r="F766" s="7" t="s">
        <v>204</v>
      </c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 t="s">
        <v>204</v>
      </c>
      <c r="F767" s="7" t="s">
        <v>204</v>
      </c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 t="s">
        <v>204</v>
      </c>
      <c r="F768" s="7" t="s">
        <v>204</v>
      </c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 t="s">
        <v>204</v>
      </c>
      <c r="F769" s="7" t="s">
        <v>204</v>
      </c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 t="s">
        <v>204</v>
      </c>
      <c r="F770" s="7" t="s">
        <v>204</v>
      </c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 t="s">
        <v>204</v>
      </c>
      <c r="F771" s="7" t="s">
        <v>204</v>
      </c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 t="s">
        <v>204</v>
      </c>
      <c r="F772" s="7" t="s">
        <v>204</v>
      </c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 t="s">
        <v>204</v>
      </c>
      <c r="F773" s="7" t="s">
        <v>204</v>
      </c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 t="s">
        <v>204</v>
      </c>
      <c r="F774" s="7" t="s">
        <v>204</v>
      </c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 t="s">
        <v>204</v>
      </c>
      <c r="F775" s="7" t="s">
        <v>204</v>
      </c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 t="s">
        <v>204</v>
      </c>
      <c r="F776" s="7" t="s">
        <v>204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 t="s">
        <v>204</v>
      </c>
      <c r="F777" s="7" t="s">
        <v>204</v>
      </c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 t="s">
        <v>204</v>
      </c>
      <c r="F778" s="7" t="s">
        <v>204</v>
      </c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 t="s">
        <v>204</v>
      </c>
      <c r="F779" s="7" t="s">
        <v>204</v>
      </c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 t="s">
        <v>204</v>
      </c>
      <c r="F780" s="7" t="s">
        <v>204</v>
      </c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 t="s">
        <v>204</v>
      </c>
      <c r="F781" s="7" t="s">
        <v>204</v>
      </c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 t="s">
        <v>204</v>
      </c>
      <c r="F782" s="7" t="s">
        <v>204</v>
      </c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 t="s">
        <v>204</v>
      </c>
      <c r="F783" s="7" t="s">
        <v>204</v>
      </c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 t="s">
        <v>204</v>
      </c>
      <c r="F784" s="7" t="s">
        <v>204</v>
      </c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 t="s">
        <v>204</v>
      </c>
      <c r="F785" s="7" t="s">
        <v>204</v>
      </c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 t="s">
        <v>204</v>
      </c>
      <c r="F786" s="7" t="s">
        <v>204</v>
      </c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 t="s">
        <v>204</v>
      </c>
      <c r="F787" s="7" t="s">
        <v>204</v>
      </c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 t="s">
        <v>204</v>
      </c>
      <c r="F788" s="7" t="s">
        <v>204</v>
      </c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 t="s">
        <v>204</v>
      </c>
      <c r="F789" s="7" t="s">
        <v>204</v>
      </c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 t="s">
        <v>204</v>
      </c>
      <c r="F790" s="7" t="s">
        <v>204</v>
      </c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 t="s">
        <v>204</v>
      </c>
      <c r="F791" s="7" t="s">
        <v>204</v>
      </c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 t="s">
        <v>204</v>
      </c>
      <c r="F792" s="7" t="s">
        <v>204</v>
      </c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 t="s">
        <v>204</v>
      </c>
      <c r="F793" s="7" t="s">
        <v>204</v>
      </c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 t="s">
        <v>204</v>
      </c>
      <c r="F794" s="7" t="s">
        <v>204</v>
      </c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 t="s">
        <v>204</v>
      </c>
      <c r="F795" s="7" t="s">
        <v>204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 t="s">
        <v>204</v>
      </c>
      <c r="F796" s="7" t="s">
        <v>204</v>
      </c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 t="s">
        <v>204</v>
      </c>
      <c r="F797" s="7" t="s">
        <v>204</v>
      </c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 t="s">
        <v>204</v>
      </c>
      <c r="F798" s="7" t="s">
        <v>204</v>
      </c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 t="s">
        <v>204</v>
      </c>
      <c r="F799" s="7" t="s">
        <v>204</v>
      </c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 t="s">
        <v>204</v>
      </c>
      <c r="F800" s="7" t="s">
        <v>204</v>
      </c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 t="s">
        <v>204</v>
      </c>
      <c r="F801" s="7" t="s">
        <v>204</v>
      </c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 t="s">
        <v>204</v>
      </c>
      <c r="F802" s="7" t="s">
        <v>204</v>
      </c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 t="s">
        <v>204</v>
      </c>
      <c r="F803" s="7" t="s">
        <v>204</v>
      </c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 t="s">
        <v>204</v>
      </c>
      <c r="F804" s="7" t="s">
        <v>204</v>
      </c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 t="s">
        <v>204</v>
      </c>
      <c r="F805" s="7" t="s">
        <v>204</v>
      </c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 t="s">
        <v>204</v>
      </c>
      <c r="F806" s="7" t="s">
        <v>204</v>
      </c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 t="s">
        <v>204</v>
      </c>
      <c r="F807" s="7" t="s">
        <v>204</v>
      </c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 t="s">
        <v>204</v>
      </c>
      <c r="F808" s="7" t="s">
        <v>204</v>
      </c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 t="s">
        <v>204</v>
      </c>
      <c r="F809" s="7" t="s">
        <v>204</v>
      </c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 t="s">
        <v>204</v>
      </c>
      <c r="F810" s="7" t="s">
        <v>204</v>
      </c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 t="s">
        <v>204</v>
      </c>
      <c r="F811" s="7" t="s">
        <v>204</v>
      </c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 t="s">
        <v>204</v>
      </c>
      <c r="F812" s="7" t="s">
        <v>204</v>
      </c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 t="s">
        <v>204</v>
      </c>
      <c r="F813" s="7" t="s">
        <v>204</v>
      </c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 t="s">
        <v>204</v>
      </c>
      <c r="F814" s="7" t="s">
        <v>204</v>
      </c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 t="s">
        <v>204</v>
      </c>
      <c r="F815" s="7" t="s">
        <v>204</v>
      </c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 t="s">
        <v>204</v>
      </c>
      <c r="F816" s="7" t="s">
        <v>204</v>
      </c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 t="s">
        <v>204</v>
      </c>
      <c r="F817" s="7" t="s">
        <v>204</v>
      </c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 t="s">
        <v>204</v>
      </c>
      <c r="F818" s="7" t="s">
        <v>204</v>
      </c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 t="s">
        <v>204</v>
      </c>
      <c r="F819" s="7" t="s">
        <v>204</v>
      </c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 t="s">
        <v>204</v>
      </c>
      <c r="F820" s="7" t="s">
        <v>204</v>
      </c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 t="s">
        <v>204</v>
      </c>
      <c r="F821" s="7" t="s">
        <v>204</v>
      </c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 t="s">
        <v>204</v>
      </c>
      <c r="F822" s="7" t="s">
        <v>204</v>
      </c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 t="s">
        <v>204</v>
      </c>
      <c r="F823" s="7" t="s">
        <v>204</v>
      </c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 t="s">
        <v>204</v>
      </c>
      <c r="F824" s="7" t="s">
        <v>204</v>
      </c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 t="s">
        <v>204</v>
      </c>
      <c r="F825" s="7" t="s">
        <v>204</v>
      </c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 t="s">
        <v>204</v>
      </c>
      <c r="F826" s="7" t="s">
        <v>204</v>
      </c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 t="s">
        <v>204</v>
      </c>
      <c r="F827" s="7" t="s">
        <v>204</v>
      </c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 t="s">
        <v>204</v>
      </c>
      <c r="F828" s="7" t="s">
        <v>204</v>
      </c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 t="s">
        <v>204</v>
      </c>
      <c r="F829" s="7" t="s">
        <v>204</v>
      </c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 t="s">
        <v>204</v>
      </c>
      <c r="F830" s="7" t="s">
        <v>204</v>
      </c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 t="s">
        <v>204</v>
      </c>
      <c r="F831" s="7" t="s">
        <v>204</v>
      </c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 t="s">
        <v>204</v>
      </c>
      <c r="F832" s="7" t="s">
        <v>204</v>
      </c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 t="s">
        <v>204</v>
      </c>
      <c r="F833" s="7" t="s">
        <v>204</v>
      </c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 t="s">
        <v>204</v>
      </c>
      <c r="F834" s="7" t="s">
        <v>204</v>
      </c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 t="s">
        <v>204</v>
      </c>
      <c r="F835" s="7" t="s">
        <v>204</v>
      </c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 t="s">
        <v>204</v>
      </c>
      <c r="F836" s="7" t="s">
        <v>204</v>
      </c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 t="s">
        <v>204</v>
      </c>
      <c r="F837" s="7" t="s">
        <v>204</v>
      </c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 t="s">
        <v>204</v>
      </c>
      <c r="F838" s="7" t="s">
        <v>204</v>
      </c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 t="s">
        <v>204</v>
      </c>
      <c r="F839" s="7" t="s">
        <v>204</v>
      </c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 t="s">
        <v>204</v>
      </c>
      <c r="F840" s="7" t="s">
        <v>204</v>
      </c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 t="s">
        <v>204</v>
      </c>
      <c r="F841" s="7" t="s">
        <v>204</v>
      </c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 t="s">
        <v>204</v>
      </c>
      <c r="F842" s="7" t="s">
        <v>204</v>
      </c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 t="s">
        <v>204</v>
      </c>
      <c r="F843" s="7" t="s">
        <v>204</v>
      </c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 t="s">
        <v>204</v>
      </c>
      <c r="F844" s="7" t="s">
        <v>204</v>
      </c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 t="s">
        <v>204</v>
      </c>
      <c r="F845" s="7" t="s">
        <v>204</v>
      </c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 t="s">
        <v>204</v>
      </c>
      <c r="F846" s="7" t="s">
        <v>204</v>
      </c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 t="s">
        <v>204</v>
      </c>
      <c r="F847" s="7" t="s">
        <v>204</v>
      </c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 t="s">
        <v>204</v>
      </c>
      <c r="F848" s="7" t="s">
        <v>204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 t="s">
        <v>204</v>
      </c>
      <c r="F849" s="7" t="s">
        <v>204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 t="s">
        <v>204</v>
      </c>
      <c r="F850" s="7" t="s">
        <v>204</v>
      </c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 t="s">
        <v>204</v>
      </c>
      <c r="F851" s="7" t="s">
        <v>204</v>
      </c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 t="s">
        <v>204</v>
      </c>
      <c r="F852" s="7" t="s">
        <v>204</v>
      </c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 t="s">
        <v>204</v>
      </c>
      <c r="F853" s="7" t="s">
        <v>204</v>
      </c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 t="s">
        <v>204</v>
      </c>
      <c r="F854" s="7" t="s">
        <v>204</v>
      </c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 t="s">
        <v>204</v>
      </c>
      <c r="F855" s="7" t="s">
        <v>204</v>
      </c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 t="s">
        <v>204</v>
      </c>
      <c r="F856" s="7" t="s">
        <v>204</v>
      </c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 t="s">
        <v>204</v>
      </c>
      <c r="F857" s="7" t="s">
        <v>204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 t="s">
        <v>204</v>
      </c>
      <c r="F858" s="7" t="s">
        <v>204</v>
      </c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 t="s">
        <v>204</v>
      </c>
      <c r="F859" s="7" t="s">
        <v>204</v>
      </c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 t="s">
        <v>204</v>
      </c>
      <c r="F860" s="7" t="s">
        <v>204</v>
      </c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 t="s">
        <v>204</v>
      </c>
      <c r="F861" s="7" t="s">
        <v>204</v>
      </c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 t="s">
        <v>204</v>
      </c>
      <c r="F862" s="7" t="s">
        <v>204</v>
      </c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 t="s">
        <v>204</v>
      </c>
      <c r="F863" s="7" t="s">
        <v>204</v>
      </c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 t="s">
        <v>204</v>
      </c>
      <c r="F864" s="7" t="s">
        <v>204</v>
      </c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 t="s">
        <v>204</v>
      </c>
      <c r="F865" s="7" t="s">
        <v>204</v>
      </c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 t="s">
        <v>204</v>
      </c>
      <c r="F866" s="7" t="s">
        <v>204</v>
      </c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 t="s">
        <v>204</v>
      </c>
      <c r="F867" s="7" t="s">
        <v>204</v>
      </c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 t="s">
        <v>204</v>
      </c>
      <c r="F868" s="7" t="s">
        <v>204</v>
      </c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 t="s">
        <v>204</v>
      </c>
      <c r="F869" s="7" t="s">
        <v>204</v>
      </c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 t="s">
        <v>204</v>
      </c>
      <c r="F870" s="7" t="s">
        <v>204</v>
      </c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 t="s">
        <v>204</v>
      </c>
      <c r="F871" s="7" t="s">
        <v>204</v>
      </c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 t="s">
        <v>204</v>
      </c>
      <c r="F872" s="7" t="s">
        <v>204</v>
      </c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 t="s">
        <v>204</v>
      </c>
      <c r="F873" s="7" t="s">
        <v>204</v>
      </c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 t="s">
        <v>204</v>
      </c>
      <c r="F874" s="7" t="s">
        <v>204</v>
      </c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 t="s">
        <v>204</v>
      </c>
      <c r="F875" s="7" t="s">
        <v>204</v>
      </c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 t="s">
        <v>204</v>
      </c>
      <c r="F876" s="7" t="s">
        <v>204</v>
      </c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 t="s">
        <v>204</v>
      </c>
      <c r="F877" s="7" t="s">
        <v>204</v>
      </c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 t="s">
        <v>204</v>
      </c>
      <c r="F878" s="7" t="s">
        <v>204</v>
      </c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 t="s">
        <v>204</v>
      </c>
      <c r="F879" s="7" t="s">
        <v>204</v>
      </c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 t="s">
        <v>204</v>
      </c>
      <c r="F880" s="7" t="s">
        <v>204</v>
      </c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 t="s">
        <v>204</v>
      </c>
      <c r="F881" s="7" t="s">
        <v>204</v>
      </c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 t="s">
        <v>204</v>
      </c>
      <c r="F882" s="7" t="s">
        <v>204</v>
      </c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 t="s">
        <v>204</v>
      </c>
      <c r="F883" s="7" t="s">
        <v>204</v>
      </c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 t="s">
        <v>204</v>
      </c>
      <c r="F884" s="7" t="s">
        <v>204</v>
      </c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 t="s">
        <v>204</v>
      </c>
      <c r="F885" s="7" t="s">
        <v>204</v>
      </c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 t="s">
        <v>204</v>
      </c>
      <c r="F886" s="7" t="s">
        <v>204</v>
      </c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 t="s">
        <v>204</v>
      </c>
      <c r="F887" s="7" t="s">
        <v>204</v>
      </c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 t="s">
        <v>204</v>
      </c>
      <c r="F888" s="7" t="s">
        <v>204</v>
      </c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 t="s">
        <v>204</v>
      </c>
      <c r="F889" s="7" t="s">
        <v>204</v>
      </c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 t="s">
        <v>204</v>
      </c>
      <c r="F890" s="7" t="s">
        <v>204</v>
      </c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 t="s">
        <v>204</v>
      </c>
      <c r="F891" s="7" t="s">
        <v>204</v>
      </c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 t="s">
        <v>204</v>
      </c>
      <c r="F892" s="7" t="s">
        <v>204</v>
      </c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 t="s">
        <v>204</v>
      </c>
      <c r="F893" s="7" t="s">
        <v>204</v>
      </c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 t="s">
        <v>204</v>
      </c>
      <c r="F894" s="7" t="s">
        <v>204</v>
      </c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 t="s">
        <v>204</v>
      </c>
      <c r="F895" s="7" t="s">
        <v>204</v>
      </c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 t="s">
        <v>204</v>
      </c>
      <c r="F896" s="7" t="s">
        <v>204</v>
      </c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 t="s">
        <v>204</v>
      </c>
      <c r="F897" s="7" t="s">
        <v>204</v>
      </c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 t="s">
        <v>204</v>
      </c>
      <c r="F898" s="7" t="s">
        <v>204</v>
      </c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 t="s">
        <v>204</v>
      </c>
      <c r="F899" s="7" t="s">
        <v>204</v>
      </c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 t="s">
        <v>204</v>
      </c>
      <c r="F900" s="7" t="s">
        <v>204</v>
      </c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 t="s">
        <v>204</v>
      </c>
      <c r="F901" s="7" t="s">
        <v>204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 t="s">
        <v>204</v>
      </c>
      <c r="F902" s="7" t="s">
        <v>204</v>
      </c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 t="s">
        <v>204</v>
      </c>
      <c r="F903" s="7" t="s">
        <v>204</v>
      </c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 t="s">
        <v>204</v>
      </c>
      <c r="F904" s="7" t="s">
        <v>204</v>
      </c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 t="s">
        <v>204</v>
      </c>
      <c r="F905" s="7" t="s">
        <v>204</v>
      </c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 t="s">
        <v>204</v>
      </c>
      <c r="F906" s="7" t="s">
        <v>204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 t="s">
        <v>204</v>
      </c>
      <c r="F907" s="7" t="s">
        <v>204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 t="s">
        <v>204</v>
      </c>
      <c r="F908" s="7" t="s">
        <v>204</v>
      </c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 t="s">
        <v>204</v>
      </c>
      <c r="F909" s="7" t="s">
        <v>204</v>
      </c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 t="s">
        <v>204</v>
      </c>
      <c r="F910" s="7" t="s">
        <v>204</v>
      </c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 t="s">
        <v>204</v>
      </c>
      <c r="F911" s="7" t="s">
        <v>204</v>
      </c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 t="s">
        <v>204</v>
      </c>
      <c r="F912" s="7" t="s">
        <v>204</v>
      </c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 t="s">
        <v>204</v>
      </c>
      <c r="F913" s="7" t="s">
        <v>204</v>
      </c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 t="s">
        <v>204</v>
      </c>
      <c r="F914" s="7" t="s">
        <v>204</v>
      </c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 t="s">
        <v>204</v>
      </c>
      <c r="F915" s="7" t="s">
        <v>204</v>
      </c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 t="s">
        <v>204</v>
      </c>
      <c r="F916" s="7" t="s">
        <v>204</v>
      </c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 t="s">
        <v>204</v>
      </c>
      <c r="F917" s="7" t="s">
        <v>204</v>
      </c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 t="s">
        <v>204</v>
      </c>
      <c r="F918" s="7" t="s">
        <v>204</v>
      </c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 t="s">
        <v>204</v>
      </c>
      <c r="F919" s="7" t="s">
        <v>204</v>
      </c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 t="s">
        <v>204</v>
      </c>
      <c r="F920" s="7" t="s">
        <v>204</v>
      </c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 t="s">
        <v>204</v>
      </c>
      <c r="F921" s="7" t="s">
        <v>204</v>
      </c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 t="s">
        <v>204</v>
      </c>
      <c r="F922" s="7" t="s">
        <v>204</v>
      </c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 t="s">
        <v>204</v>
      </c>
      <c r="F923" s="7" t="s">
        <v>204</v>
      </c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 t="s">
        <v>204</v>
      </c>
      <c r="F924" s="7" t="s">
        <v>204</v>
      </c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 t="s">
        <v>204</v>
      </c>
      <c r="F925" s="7" t="s">
        <v>204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 t="s">
        <v>204</v>
      </c>
      <c r="F926" s="7" t="s">
        <v>204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 t="s">
        <v>204</v>
      </c>
      <c r="F927" s="7" t="s">
        <v>204</v>
      </c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 t="s">
        <v>204</v>
      </c>
      <c r="F928" s="7" t="s">
        <v>204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 t="s">
        <v>204</v>
      </c>
      <c r="F929" s="7" t="s">
        <v>204</v>
      </c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 t="s">
        <v>204</v>
      </c>
      <c r="F930" s="7" t="s">
        <v>204</v>
      </c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 t="s">
        <v>204</v>
      </c>
      <c r="F931" s="7" t="s">
        <v>204</v>
      </c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 t="s">
        <v>204</v>
      </c>
      <c r="F932" s="7" t="s">
        <v>204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 t="s">
        <v>204</v>
      </c>
      <c r="F933" s="7" t="s">
        <v>204</v>
      </c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 t="s">
        <v>204</v>
      </c>
      <c r="F934" s="7" t="s">
        <v>204</v>
      </c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 t="s">
        <v>204</v>
      </c>
      <c r="F935" s="7" t="s">
        <v>204</v>
      </c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 t="s">
        <v>204</v>
      </c>
      <c r="F936" s="7" t="s">
        <v>204</v>
      </c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 t="s">
        <v>204</v>
      </c>
      <c r="F937" s="7" t="s">
        <v>204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 t="s">
        <v>204</v>
      </c>
      <c r="F938" s="7" t="s">
        <v>204</v>
      </c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 t="s">
        <v>204</v>
      </c>
      <c r="F939" s="7" t="s">
        <v>204</v>
      </c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 t="s">
        <v>204</v>
      </c>
      <c r="F940" s="7" t="s">
        <v>204</v>
      </c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 t="s">
        <v>204</v>
      </c>
      <c r="F941" s="7" t="s">
        <v>204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 t="s">
        <v>204</v>
      </c>
      <c r="F942" s="7" t="s">
        <v>204</v>
      </c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 t="s">
        <v>204</v>
      </c>
      <c r="F943" s="7" t="s">
        <v>204</v>
      </c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 t="s">
        <v>204</v>
      </c>
      <c r="F944" s="7" t="s">
        <v>204</v>
      </c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 t="s">
        <v>204</v>
      </c>
      <c r="F945" s="7" t="s">
        <v>204</v>
      </c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 t="s">
        <v>204</v>
      </c>
      <c r="F946" s="7" t="s">
        <v>204</v>
      </c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 t="s">
        <v>204</v>
      </c>
      <c r="F947" s="7" t="s">
        <v>204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 t="s">
        <v>204</v>
      </c>
      <c r="F948" s="7" t="s">
        <v>204</v>
      </c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 t="s">
        <v>204</v>
      </c>
      <c r="F949" s="7" t="s">
        <v>204</v>
      </c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 t="s">
        <v>204</v>
      </c>
      <c r="F950" s="7" t="s">
        <v>204</v>
      </c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 t="s">
        <v>204</v>
      </c>
      <c r="F951" s="7" t="s">
        <v>204</v>
      </c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 t="s">
        <v>204</v>
      </c>
      <c r="F952" s="7" t="s">
        <v>204</v>
      </c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 t="s">
        <v>204</v>
      </c>
      <c r="F953" s="7" t="s">
        <v>204</v>
      </c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 t="s">
        <v>204</v>
      </c>
      <c r="F954" s="7" t="s">
        <v>204</v>
      </c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 t="s">
        <v>204</v>
      </c>
      <c r="F955" s="7" t="s">
        <v>204</v>
      </c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 t="s">
        <v>204</v>
      </c>
      <c r="F956" s="7" t="s">
        <v>204</v>
      </c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 t="s">
        <v>204</v>
      </c>
      <c r="F957" s="7" t="s">
        <v>204</v>
      </c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 t="s">
        <v>204</v>
      </c>
      <c r="F958" s="7" t="s">
        <v>204</v>
      </c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 t="s">
        <v>204</v>
      </c>
      <c r="F959" s="7" t="s">
        <v>204</v>
      </c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 t="s">
        <v>204</v>
      </c>
      <c r="F960" s="7" t="s">
        <v>204</v>
      </c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 t="s">
        <v>204</v>
      </c>
      <c r="F961" s="7" t="s">
        <v>204</v>
      </c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 t="s">
        <v>204</v>
      </c>
      <c r="F962" s="7" t="s">
        <v>204</v>
      </c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 t="s">
        <v>204</v>
      </c>
      <c r="F963" s="7" t="s">
        <v>204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 t="s">
        <v>204</v>
      </c>
      <c r="F964" s="7" t="s">
        <v>204</v>
      </c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 t="s">
        <v>204</v>
      </c>
      <c r="F965" s="7" t="s">
        <v>204</v>
      </c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 t="s">
        <v>204</v>
      </c>
      <c r="F966" s="7" t="s">
        <v>204</v>
      </c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 t="s">
        <v>204</v>
      </c>
      <c r="F967" s="7" t="s">
        <v>204</v>
      </c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 t="s">
        <v>204</v>
      </c>
      <c r="F968" s="7" t="s">
        <v>204</v>
      </c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 t="s">
        <v>204</v>
      </c>
      <c r="F969" s="7" t="s">
        <v>204</v>
      </c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 t="s">
        <v>204</v>
      </c>
      <c r="F970" s="7" t="s">
        <v>204</v>
      </c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 t="s">
        <v>204</v>
      </c>
      <c r="F971" s="7" t="s">
        <v>204</v>
      </c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 t="s">
        <v>204</v>
      </c>
      <c r="F972" s="7" t="s">
        <v>204</v>
      </c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 t="s">
        <v>204</v>
      </c>
      <c r="F973" s="7" t="s">
        <v>204</v>
      </c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 t="s">
        <v>204</v>
      </c>
      <c r="F974" s="7" t="s">
        <v>204</v>
      </c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 t="s">
        <v>204</v>
      </c>
      <c r="F975" s="7" t="s">
        <v>204</v>
      </c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 t="s">
        <v>204</v>
      </c>
      <c r="F976" s="7" t="s">
        <v>204</v>
      </c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 t="s">
        <v>204</v>
      </c>
      <c r="F977" s="7" t="s">
        <v>204</v>
      </c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 t="s">
        <v>204</v>
      </c>
      <c r="F978" s="7" t="s">
        <v>204</v>
      </c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 t="s">
        <v>204</v>
      </c>
      <c r="F979" s="7" t="s">
        <v>204</v>
      </c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 t="s">
        <v>204</v>
      </c>
      <c r="F980" s="7" t="s">
        <v>204</v>
      </c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 t="s">
        <v>204</v>
      </c>
      <c r="F981" s="7" t="s">
        <v>204</v>
      </c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 t="s">
        <v>204</v>
      </c>
      <c r="F982" s="7" t="s">
        <v>204</v>
      </c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 t="s">
        <v>204</v>
      </c>
      <c r="F983" s="7" t="s">
        <v>204</v>
      </c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 t="s">
        <v>204</v>
      </c>
      <c r="F984" s="7" t="s">
        <v>204</v>
      </c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 t="s">
        <v>204</v>
      </c>
      <c r="F985" s="7" t="s">
        <v>204</v>
      </c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 t="s">
        <v>204</v>
      </c>
      <c r="F986" s="7" t="s">
        <v>204</v>
      </c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 t="s">
        <v>204</v>
      </c>
      <c r="F987" s="7" t="s">
        <v>204</v>
      </c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 t="s">
        <v>204</v>
      </c>
      <c r="F988" s="7" t="s">
        <v>204</v>
      </c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 t="s">
        <v>204</v>
      </c>
      <c r="F989" s="7" t="s">
        <v>204</v>
      </c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 t="s">
        <v>204</v>
      </c>
      <c r="F990" s="7" t="s">
        <v>204</v>
      </c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 t="s">
        <v>204</v>
      </c>
      <c r="F991" s="7" t="s">
        <v>204</v>
      </c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 t="s">
        <v>204</v>
      </c>
      <c r="F992" s="7" t="s">
        <v>204</v>
      </c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 t="s">
        <v>204</v>
      </c>
      <c r="F993" s="7" t="s">
        <v>204</v>
      </c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 t="s">
        <v>204</v>
      </c>
      <c r="F994" s="7" t="s">
        <v>204</v>
      </c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 t="s">
        <v>204</v>
      </c>
      <c r="F995" s="7" t="s">
        <v>204</v>
      </c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 t="s">
        <v>204</v>
      </c>
      <c r="F996" s="7" t="s">
        <v>204</v>
      </c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 t="s">
        <v>204</v>
      </c>
      <c r="F997" s="7" t="s">
        <v>204</v>
      </c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 t="s">
        <v>204</v>
      </c>
      <c r="F998" s="7" t="s">
        <v>204</v>
      </c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</sheetData>
  <customSheetViews>
    <customSheetView guid="{619FDBE4-4BEA-4A29-9BFD-148DBED10831}" filter="1" showAutoFilter="1">
      <autoFilter ref="$A$2:$I$10"/>
    </customSheetView>
  </customSheetViews>
  <mergeCells count="1">
    <mergeCell ref="A1:H1"/>
  </mergeCells>
  <dataValidations>
    <dataValidation type="list" allowBlank="1" sqref="G3:G10">
      <formula1>"Opening Balance,Credit,Debit"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